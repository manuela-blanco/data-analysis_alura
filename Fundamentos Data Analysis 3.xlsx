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gas motoboy" sheetId="1" r:id="rId4"/>
    <sheet state="visible" name="Página2" sheetId="2" r:id="rId5"/>
    <sheet state="visible" name="Crescimento médio" sheetId="3" r:id="rId6"/>
    <sheet state="visible" name="Médias" sheetId="4" r:id="rId7"/>
    <sheet state="visible" name="Churn" sheetId="5" r:id="rId8"/>
    <sheet state="visible" name="Cohort" sheetId="6" r:id="rId9"/>
  </sheets>
  <definedNames/>
  <calcPr/>
</workbook>
</file>

<file path=xl/sharedStrings.xml><?xml version="1.0" encoding="utf-8"?>
<sst xmlns="http://schemas.openxmlformats.org/spreadsheetml/2006/main" count="58" uniqueCount="42">
  <si>
    <t>A Jumping Cats cresceu em 2014:</t>
  </si>
  <si>
    <t>0° Quartil</t>
  </si>
  <si>
    <t>Valor mínimo</t>
  </si>
  <si>
    <t>Mês:</t>
  </si>
  <si>
    <t>1° Quartil</t>
  </si>
  <si>
    <t>2° Quartil</t>
  </si>
  <si>
    <t>Mediana</t>
  </si>
  <si>
    <t>3° Quartil</t>
  </si>
  <si>
    <t>Vendas (R$)</t>
  </si>
  <si>
    <t>4° Quartil</t>
  </si>
  <si>
    <t>Valor máximo</t>
  </si>
  <si>
    <t>Média</t>
  </si>
  <si>
    <t>Crescimento:</t>
  </si>
  <si>
    <t>Moda</t>
  </si>
  <si>
    <t>Variância</t>
  </si>
  <si>
    <t>Desvio Padrão</t>
  </si>
  <si>
    <t>Teste:</t>
  </si>
  <si>
    <t>Quanto a Jumping Cats cresceu EM MÉDIA em 2014 ?</t>
  </si>
  <si>
    <t>Média Aritmética errada</t>
  </si>
  <si>
    <t>Produto</t>
  </si>
  <si>
    <t>Média Geométrica</t>
  </si>
  <si>
    <t>A</t>
  </si>
  <si>
    <t>Média Aritmética</t>
  </si>
  <si>
    <t>B</t>
  </si>
  <si>
    <t xml:space="preserve"> </t>
  </si>
  <si>
    <t>Média Harmônica</t>
  </si>
  <si>
    <t>Meses</t>
  </si>
  <si>
    <t>Novos clientes</t>
  </si>
  <si>
    <t>Clientes ativos</t>
  </si>
  <si>
    <t>Churn (clientes)</t>
  </si>
  <si>
    <t>Churn(%)</t>
  </si>
  <si>
    <t>Distancia (km)</t>
  </si>
  <si>
    <t>Tempo (minutos)</t>
  </si>
  <si>
    <t>Velocidade (km/min)</t>
  </si>
  <si>
    <t>Velocidade (km/h)</t>
  </si>
  <si>
    <t>Distância (km)</t>
  </si>
  <si>
    <t>Tempo(minutos)</t>
  </si>
  <si>
    <t>2° Quartil/Mediana</t>
  </si>
  <si>
    <t>Clientes Ativos (Cohort relativo à novos clientes de jan/2014)</t>
  </si>
  <si>
    <t>Simulação</t>
  </si>
  <si>
    <t>Churn médio</t>
  </si>
  <si>
    <t>Tempo médio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</si>
</sst>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"/>
    <numFmt numFmtId="166" formatCode="d/m/yyyy"/>
    <numFmt numFmtId="167" formatCode="0.000"/>
  </numFmts>
  <fonts count="8">
    <font>
      <sz val="10.0"/>
      <color rgb="FF000000"/>
      <name val="Arial"/>
    </font>
    <font>
      <color theme="1"/>
      <name val="Calibri"/>
    </font>
    <font>
      <color theme="1"/>
      <name val="Arial"/>
    </font>
    <font>
      <b/>
      <sz val="11.0"/>
      <color theme="1"/>
      <name val="Cambria"/>
    </font>
    <font>
      <sz val="11.0"/>
      <color theme="1"/>
      <name val="Cambria"/>
    </font>
    <font>
      <b/>
      <color theme="1"/>
      <name val="Arial"/>
    </font>
    <font>
      <b/>
    </font>
    <font/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14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2" numFmtId="0" xfId="0" applyFont="1"/>
    <xf borderId="0" fillId="0" fontId="4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2" numFmtId="10" xfId="0" applyFont="1" applyNumberFormat="1"/>
    <xf borderId="0" fillId="0" fontId="5" numFmtId="0" xfId="0" applyAlignment="1" applyFont="1">
      <alignment horizontal="right" readingOrder="0"/>
    </xf>
    <xf borderId="0" fillId="0" fontId="2" numFmtId="165" xfId="0" applyFont="1" applyNumberFormat="1"/>
    <xf borderId="0" fillId="0" fontId="6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2" numFmtId="1" xfId="0" applyFont="1" applyNumberFormat="1"/>
    <xf borderId="0" fillId="0" fontId="7" numFmtId="1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2" numFmtId="167" xfId="0" applyAlignment="1" applyFont="1" applyNumberFormat="1">
      <alignment readingOrder="0"/>
    </xf>
    <xf borderId="0" fillId="0" fontId="2" numFmtId="167" xfId="0" applyFont="1" applyNumberFormat="1"/>
    <xf borderId="1" fillId="0" fontId="2" numFmtId="0" xfId="0" applyBorder="1" applyFont="1"/>
    <xf borderId="2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5" fillId="0" fontId="2" numFmtId="165" xfId="0" applyBorder="1" applyFont="1" applyNumberFormat="1"/>
    <xf borderId="5" fillId="0" fontId="2" numFmtId="2" xfId="0" applyBorder="1" applyFont="1" applyNumberFormat="1"/>
    <xf borderId="5" fillId="0" fontId="2" numFmtId="1" xfId="0" applyBorder="1" applyFont="1" applyNumberFormat="1"/>
    <xf borderId="6" fillId="0" fontId="5" numFmtId="0" xfId="0" applyAlignment="1" applyBorder="1" applyFont="1">
      <alignment readingOrder="0"/>
    </xf>
    <xf borderId="7" fillId="0" fontId="2" numFmtId="165" xfId="0" applyBorder="1" applyFont="1" applyNumberFormat="1"/>
    <xf borderId="8" fillId="0" fontId="2" numFmtId="165" xfId="0" applyBorder="1" applyFont="1" applyNumberFormat="1"/>
    <xf borderId="0" fillId="0" fontId="5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Churn (%) - Cohort  Jan/2014</a:t>
            </a:r>
          </a:p>
        </c:rich>
      </c:tx>
      <c:layout>
        <c:manualLayout>
          <c:xMode val="edge"/>
          <c:yMode val="edge"/>
          <c:x val="0.02258333333333333"/>
          <c:y val="0.03382749326145553"/>
        </c:manualLayout>
      </c:layout>
      <c:overlay val="0"/>
    </c:title>
    <c:plotArea>
      <c:layout/>
      <c:lineChart>
        <c:varyColors val="0"/>
        <c:ser>
          <c:idx val="0"/>
          <c:order val="0"/>
          <c:marker>
            <c:symbol val="none"/>
          </c:marker>
          <c:val>
            <c:numRef>
              <c:f>Cohort!$C$3:$C$22</c:f>
            </c:numRef>
          </c:val>
          <c:smooth val="0"/>
        </c:ser>
        <c:axId val="1482192821"/>
        <c:axId val="1847305836"/>
      </c:lineChart>
      <c:catAx>
        <c:axId val="1482192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305836"/>
      </c:catAx>
      <c:valAx>
        <c:axId val="1847305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1928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Simulação Churn (15%)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marker>
            <c:symbol val="none"/>
          </c:marker>
          <c:val>
            <c:numRef>
              <c:f>Cohort!$I$2:$I$31</c:f>
            </c:numRef>
          </c:val>
          <c:smooth val="0"/>
        </c:ser>
        <c:axId val="1902510831"/>
        <c:axId val="2006142712"/>
      </c:lineChart>
      <c:catAx>
        <c:axId val="1902510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142712"/>
      </c:catAx>
      <c:valAx>
        <c:axId val="2006142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5108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523875</xdr:colOff>
      <xdr:row>1</xdr:row>
      <xdr:rowOff>57150</xdr:rowOff>
    </xdr:from>
    <xdr:ext cx="3819525" cy="25812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333375</xdr:colOff>
      <xdr:row>0</xdr:row>
      <xdr:rowOff>161925</xdr:rowOff>
    </xdr:from>
    <xdr:ext cx="3324225" cy="21145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18.29"/>
    <col customWidth="1" hidden="1" min="3" max="3" width="18.57"/>
    <col customWidth="1" min="4" max="4" width="16.86"/>
    <col customWidth="1" min="6" max="6" width="18.14"/>
    <col customWidth="1" min="9" max="9" width="16.86"/>
  </cols>
  <sheetData>
    <row r="1">
      <c r="A1" s="11" t="s">
        <v>31</v>
      </c>
      <c r="B1" s="11" t="s">
        <v>32</v>
      </c>
      <c r="C1" s="23" t="s">
        <v>33</v>
      </c>
      <c r="D1" s="23" t="s">
        <v>34</v>
      </c>
    </row>
    <row r="2">
      <c r="A2" s="24">
        <v>29.0</v>
      </c>
      <c r="B2" s="25">
        <v>78.4062962577456</v>
      </c>
      <c r="C2" s="26">
        <f t="shared" ref="C2:C251" si="1">A2/B2</f>
        <v>0.3698682553</v>
      </c>
      <c r="D2" s="27">
        <f t="shared" ref="D2:D251" si="2">C2*60</f>
        <v>22.19209532</v>
      </c>
    </row>
    <row r="3">
      <c r="A3" s="24">
        <v>27.0</v>
      </c>
      <c r="B3" s="25">
        <v>32.4221276135344</v>
      </c>
      <c r="C3" s="26">
        <f t="shared" si="1"/>
        <v>0.8327645959</v>
      </c>
      <c r="D3" s="27">
        <f t="shared" si="2"/>
        <v>49.96587575</v>
      </c>
    </row>
    <row r="4">
      <c r="A4" s="24">
        <v>105.0</v>
      </c>
      <c r="B4" s="25">
        <v>119.932942203225</v>
      </c>
      <c r="C4" s="26">
        <f t="shared" si="1"/>
        <v>0.8754892365</v>
      </c>
      <c r="D4" s="27">
        <f t="shared" si="2"/>
        <v>52.52935419</v>
      </c>
    </row>
    <row r="5">
      <c r="A5" s="24">
        <v>70.0</v>
      </c>
      <c r="B5" s="25">
        <v>143.502907029023</v>
      </c>
      <c r="C5" s="26">
        <f t="shared" si="1"/>
        <v>0.4877949963</v>
      </c>
      <c r="D5" s="27">
        <f t="shared" si="2"/>
        <v>29.26769978</v>
      </c>
    </row>
    <row r="6">
      <c r="A6" s="24">
        <v>120.0</v>
      </c>
      <c r="B6" s="25">
        <v>115.852782574542</v>
      </c>
      <c r="C6" s="26">
        <f t="shared" si="1"/>
        <v>1.035797305</v>
      </c>
      <c r="D6" s="27">
        <f t="shared" si="2"/>
        <v>62.14783832</v>
      </c>
    </row>
    <row r="7">
      <c r="A7" s="24">
        <v>85.0</v>
      </c>
      <c r="B7" s="25">
        <v>118.978348116186</v>
      </c>
      <c r="C7" s="26">
        <f t="shared" si="1"/>
        <v>0.7144157012</v>
      </c>
      <c r="D7" s="27">
        <f t="shared" si="2"/>
        <v>42.86494207</v>
      </c>
    </row>
    <row r="8">
      <c r="A8" s="24">
        <v>38.0</v>
      </c>
      <c r="B8" s="25">
        <v>42.709463387222</v>
      </c>
      <c r="C8" s="26">
        <f t="shared" si="1"/>
        <v>0.8897325554</v>
      </c>
      <c r="D8" s="27">
        <f t="shared" si="2"/>
        <v>53.38395333</v>
      </c>
    </row>
    <row r="9">
      <c r="A9" s="24">
        <v>26.0</v>
      </c>
      <c r="B9" s="25">
        <v>36.2058160900883</v>
      </c>
      <c r="C9" s="26">
        <f t="shared" si="1"/>
        <v>0.7181166676</v>
      </c>
      <c r="D9" s="27">
        <f t="shared" si="2"/>
        <v>43.08700006</v>
      </c>
    </row>
    <row r="10">
      <c r="A10" s="24">
        <v>24.0</v>
      </c>
      <c r="B10" s="25">
        <v>30.5869231284212</v>
      </c>
      <c r="C10" s="26">
        <f t="shared" si="1"/>
        <v>0.7846490443</v>
      </c>
      <c r="D10" s="27">
        <f t="shared" si="2"/>
        <v>47.07894266</v>
      </c>
    </row>
    <row r="11">
      <c r="A11" s="24">
        <v>21.0</v>
      </c>
      <c r="B11" s="25">
        <v>37.6373456364287</v>
      </c>
      <c r="C11" s="26">
        <f t="shared" si="1"/>
        <v>0.5579564564</v>
      </c>
      <c r="D11" s="27">
        <f t="shared" si="2"/>
        <v>33.47738738</v>
      </c>
    </row>
    <row r="12">
      <c r="A12" s="24">
        <v>33.0</v>
      </c>
      <c r="B12" s="25">
        <v>39.1422459602067</v>
      </c>
      <c r="C12" s="26">
        <f t="shared" si="1"/>
        <v>0.8430788574</v>
      </c>
      <c r="D12" s="27">
        <f t="shared" si="2"/>
        <v>50.58473144</v>
      </c>
    </row>
    <row r="13">
      <c r="A13" s="24">
        <v>32.0</v>
      </c>
      <c r="B13" s="25">
        <v>35.8097964707695</v>
      </c>
      <c r="C13" s="26">
        <f t="shared" si="1"/>
        <v>0.8936102171</v>
      </c>
      <c r="D13" s="27">
        <f t="shared" si="2"/>
        <v>53.61661303</v>
      </c>
      <c r="F13" s="28"/>
      <c r="G13" s="29" t="s">
        <v>35</v>
      </c>
      <c r="H13" s="29" t="s">
        <v>36</v>
      </c>
      <c r="I13" s="30" t="s">
        <v>34</v>
      </c>
    </row>
    <row r="14">
      <c r="A14" s="24">
        <v>52.0</v>
      </c>
      <c r="B14" s="25">
        <v>79.459171266726</v>
      </c>
      <c r="C14" s="26">
        <f t="shared" si="1"/>
        <v>0.6544241422</v>
      </c>
      <c r="D14" s="27">
        <f t="shared" si="2"/>
        <v>39.26544853</v>
      </c>
      <c r="F14" s="31" t="s">
        <v>2</v>
      </c>
      <c r="G14" s="7">
        <f t="shared" ref="G14:H14" si="3">MIN(A2:A251)</f>
        <v>10</v>
      </c>
      <c r="H14" s="17">
        <f t="shared" si="3"/>
        <v>8.768051115</v>
      </c>
      <c r="I14" s="32">
        <f>MIN(D2:D251)</f>
        <v>14.80273812</v>
      </c>
    </row>
    <row r="15">
      <c r="A15" s="24">
        <v>36.0</v>
      </c>
      <c r="B15" s="25">
        <v>56.2803423935615</v>
      </c>
      <c r="C15" s="26">
        <f t="shared" si="1"/>
        <v>0.6396549571</v>
      </c>
      <c r="D15" s="27">
        <f t="shared" si="2"/>
        <v>38.37929743</v>
      </c>
      <c r="F15" s="31" t="s">
        <v>4</v>
      </c>
      <c r="G15" s="21">
        <f t="shared" ref="G15:H15" si="4">QUARTILE(A:A,1)</f>
        <v>35.25</v>
      </c>
      <c r="H15" s="17">
        <f t="shared" si="4"/>
        <v>47.46745412</v>
      </c>
      <c r="I15" s="32">
        <f>QUARTILE(D:D,1)</f>
        <v>40.46002122</v>
      </c>
    </row>
    <row r="16">
      <c r="A16" s="24">
        <v>53.0</v>
      </c>
      <c r="B16" s="25">
        <v>56.014264984902</v>
      </c>
      <c r="C16" s="26">
        <f t="shared" si="1"/>
        <v>0.9461875473</v>
      </c>
      <c r="D16" s="27">
        <f t="shared" si="2"/>
        <v>56.77125284</v>
      </c>
      <c r="F16" s="31" t="s">
        <v>37</v>
      </c>
      <c r="G16" s="7">
        <f t="shared" ref="G16:I16" si="5">QUARTILE(A:A,2)</f>
        <v>60.5</v>
      </c>
      <c r="H16" s="17">
        <f t="shared" si="5"/>
        <v>77.45595542</v>
      </c>
      <c r="I16" s="33">
        <f t="shared" si="5"/>
        <v>0.8164085276</v>
      </c>
    </row>
    <row r="17">
      <c r="A17" s="24">
        <v>18.0</v>
      </c>
      <c r="B17" s="25">
        <v>20.2844106599205</v>
      </c>
      <c r="C17" s="26">
        <f t="shared" si="1"/>
        <v>0.8873809696</v>
      </c>
      <c r="D17" s="27">
        <f t="shared" si="2"/>
        <v>53.24285818</v>
      </c>
      <c r="F17" s="31" t="s">
        <v>7</v>
      </c>
      <c r="G17" s="7">
        <f t="shared" ref="G17:I17" si="6">QUARTILE(A:A,3)</f>
        <v>91.5</v>
      </c>
      <c r="H17" s="17">
        <f t="shared" si="6"/>
        <v>117.2390695</v>
      </c>
      <c r="I17" s="33">
        <f t="shared" si="6"/>
        <v>0.9240923575</v>
      </c>
    </row>
    <row r="18">
      <c r="A18" s="24">
        <v>13.0</v>
      </c>
      <c r="B18" s="25">
        <v>14.8991615038809</v>
      </c>
      <c r="C18" s="26">
        <f t="shared" si="1"/>
        <v>0.8725323232</v>
      </c>
      <c r="D18" s="27">
        <f t="shared" si="2"/>
        <v>52.35193939</v>
      </c>
      <c r="F18" s="31" t="s">
        <v>10</v>
      </c>
      <c r="G18" s="7">
        <f t="shared" ref="G18:H18" si="7">MAX(A:A)</f>
        <v>120</v>
      </c>
      <c r="H18" s="17">
        <f t="shared" si="7"/>
        <v>336.1500183</v>
      </c>
      <c r="I18" s="34">
        <f>MAX(D:D)</f>
        <v>75.95847018</v>
      </c>
    </row>
    <row r="19">
      <c r="A19" s="24">
        <v>68.0</v>
      </c>
      <c r="B19" s="25">
        <v>97.8691982602061</v>
      </c>
      <c r="C19" s="26">
        <f t="shared" si="1"/>
        <v>0.6948049152</v>
      </c>
      <c r="D19" s="27">
        <f t="shared" si="2"/>
        <v>41.68829491</v>
      </c>
      <c r="F19" s="31" t="s">
        <v>11</v>
      </c>
      <c r="G19" s="17">
        <f t="shared" ref="G19:H19" si="8">AVERAGE(A:A)</f>
        <v>63.48</v>
      </c>
      <c r="H19" s="17">
        <f t="shared" si="8"/>
        <v>86.2258983</v>
      </c>
      <c r="I19" s="32">
        <f>AVERAGE(D:D)</f>
        <v>47.82735856</v>
      </c>
    </row>
    <row r="20">
      <c r="A20" s="24">
        <v>77.0</v>
      </c>
      <c r="B20" s="25">
        <v>71.0370912247187</v>
      </c>
      <c r="C20" s="26">
        <f t="shared" si="1"/>
        <v>1.083940779</v>
      </c>
      <c r="D20" s="27">
        <f t="shared" si="2"/>
        <v>65.03644674</v>
      </c>
      <c r="F20" s="35" t="s">
        <v>15</v>
      </c>
      <c r="G20" s="36">
        <f t="shared" ref="G20:H20" si="9">STDEV(A:A)</f>
        <v>31.64108457</v>
      </c>
      <c r="H20" s="36">
        <f t="shared" si="9"/>
        <v>53.11803403</v>
      </c>
      <c r="I20" s="37">
        <f>STDEV(D:D)</f>
        <v>11.62270189</v>
      </c>
    </row>
    <row r="21">
      <c r="A21" s="24">
        <v>66.0</v>
      </c>
      <c r="B21" s="25">
        <v>73.0318659319759</v>
      </c>
      <c r="C21" s="26">
        <f t="shared" si="1"/>
        <v>0.9037150997</v>
      </c>
      <c r="D21" s="27">
        <f t="shared" si="2"/>
        <v>54.22290598</v>
      </c>
    </row>
    <row r="22">
      <c r="A22" s="24">
        <v>51.0</v>
      </c>
      <c r="B22" s="25">
        <v>56.4764167227278</v>
      </c>
      <c r="C22" s="26">
        <f t="shared" si="1"/>
        <v>0.9030317956</v>
      </c>
      <c r="D22" s="27">
        <f t="shared" si="2"/>
        <v>54.18190773</v>
      </c>
    </row>
    <row r="23">
      <c r="A23" s="24">
        <v>94.0</v>
      </c>
      <c r="B23" s="25">
        <v>90.1068700829291</v>
      </c>
      <c r="C23" s="26">
        <f t="shared" si="1"/>
        <v>1.043205695</v>
      </c>
      <c r="D23" s="27">
        <f t="shared" si="2"/>
        <v>62.59234168</v>
      </c>
    </row>
    <row r="24">
      <c r="A24" s="24">
        <v>51.0</v>
      </c>
      <c r="B24" s="25">
        <v>52.3136169692961</v>
      </c>
      <c r="C24" s="26">
        <f t="shared" si="1"/>
        <v>0.9748895786</v>
      </c>
      <c r="D24" s="27">
        <f t="shared" si="2"/>
        <v>58.49337471</v>
      </c>
    </row>
    <row r="25">
      <c r="A25" s="24">
        <v>99.0</v>
      </c>
      <c r="B25" s="25">
        <v>113.143738190574</v>
      </c>
      <c r="C25" s="26">
        <f t="shared" si="1"/>
        <v>0.8749931864</v>
      </c>
      <c r="D25" s="27">
        <f t="shared" si="2"/>
        <v>52.49959118</v>
      </c>
    </row>
    <row r="26">
      <c r="A26" s="24">
        <v>44.0</v>
      </c>
      <c r="B26" s="25">
        <v>56.490407013023</v>
      </c>
      <c r="C26" s="26">
        <f t="shared" si="1"/>
        <v>0.7788933082</v>
      </c>
      <c r="D26" s="27">
        <f t="shared" si="2"/>
        <v>46.73359849</v>
      </c>
    </row>
    <row r="27">
      <c r="A27" s="24">
        <v>50.0</v>
      </c>
      <c r="B27" s="25">
        <v>183.00921655396</v>
      </c>
      <c r="C27" s="26">
        <f t="shared" si="1"/>
        <v>0.2732102838</v>
      </c>
      <c r="D27" s="27">
        <f t="shared" si="2"/>
        <v>16.39261703</v>
      </c>
    </row>
    <row r="28">
      <c r="A28" s="24">
        <v>11.0</v>
      </c>
      <c r="B28" s="25">
        <v>10.3394106287902</v>
      </c>
      <c r="C28" s="26">
        <f t="shared" si="1"/>
        <v>1.063890428</v>
      </c>
      <c r="D28" s="27">
        <f t="shared" si="2"/>
        <v>63.83342569</v>
      </c>
    </row>
    <row r="29">
      <c r="A29" s="24">
        <v>87.0</v>
      </c>
      <c r="B29" s="25">
        <v>98.1385392394153</v>
      </c>
      <c r="C29" s="26">
        <f t="shared" si="1"/>
        <v>0.8865018847</v>
      </c>
      <c r="D29" s="27">
        <f t="shared" si="2"/>
        <v>53.19011308</v>
      </c>
    </row>
    <row r="30">
      <c r="A30" s="24">
        <v>55.0</v>
      </c>
      <c r="B30" s="25">
        <v>50.4963868548609</v>
      </c>
      <c r="C30" s="26">
        <f t="shared" si="1"/>
        <v>1.089186839</v>
      </c>
      <c r="D30" s="27">
        <f t="shared" si="2"/>
        <v>65.35121036</v>
      </c>
    </row>
    <row r="31">
      <c r="A31" s="24">
        <v>21.0</v>
      </c>
      <c r="B31" s="25">
        <v>22.5472692325471</v>
      </c>
      <c r="C31" s="26">
        <f t="shared" si="1"/>
        <v>0.9313766463</v>
      </c>
      <c r="D31" s="27">
        <f t="shared" si="2"/>
        <v>55.88259878</v>
      </c>
    </row>
    <row r="32">
      <c r="A32" s="24">
        <v>33.0</v>
      </c>
      <c r="B32" s="25">
        <v>43.5939438430483</v>
      </c>
      <c r="C32" s="26">
        <f t="shared" si="1"/>
        <v>0.7569858813</v>
      </c>
      <c r="D32" s="27">
        <f t="shared" si="2"/>
        <v>45.41915288</v>
      </c>
    </row>
    <row r="33">
      <c r="A33" s="24">
        <v>96.0</v>
      </c>
      <c r="B33" s="25">
        <v>140.100819957448</v>
      </c>
      <c r="C33" s="26">
        <f t="shared" si="1"/>
        <v>0.685220829</v>
      </c>
      <c r="D33" s="27">
        <f t="shared" si="2"/>
        <v>41.11324974</v>
      </c>
    </row>
    <row r="34">
      <c r="A34" s="24">
        <v>16.0</v>
      </c>
      <c r="B34" s="25">
        <v>18.8872612274905</v>
      </c>
      <c r="C34" s="26">
        <f t="shared" si="1"/>
        <v>0.8471318211</v>
      </c>
      <c r="D34" s="27">
        <f t="shared" si="2"/>
        <v>50.82790927</v>
      </c>
    </row>
    <row r="35">
      <c r="A35" s="24">
        <v>103.0</v>
      </c>
      <c r="B35" s="25">
        <v>148.923681068351</v>
      </c>
      <c r="C35" s="26">
        <f t="shared" si="1"/>
        <v>0.6916294256</v>
      </c>
      <c r="D35" s="27">
        <f t="shared" si="2"/>
        <v>41.49776554</v>
      </c>
    </row>
    <row r="36">
      <c r="A36" s="24">
        <v>21.0</v>
      </c>
      <c r="B36" s="25">
        <v>33.296598136248</v>
      </c>
      <c r="C36" s="26">
        <f t="shared" si="1"/>
        <v>0.6306950612</v>
      </c>
      <c r="D36" s="27">
        <f t="shared" si="2"/>
        <v>37.84170367</v>
      </c>
    </row>
    <row r="37">
      <c r="A37" s="24">
        <v>43.0</v>
      </c>
      <c r="B37" s="25">
        <v>65.8948562292357</v>
      </c>
      <c r="C37" s="26">
        <f t="shared" si="1"/>
        <v>0.6525547283</v>
      </c>
      <c r="D37" s="27">
        <f t="shared" si="2"/>
        <v>39.1532837</v>
      </c>
    </row>
    <row r="38">
      <c r="A38" s="24">
        <v>72.0</v>
      </c>
      <c r="B38" s="25">
        <v>85.5195930331922</v>
      </c>
      <c r="C38" s="26">
        <f t="shared" si="1"/>
        <v>0.841912332</v>
      </c>
      <c r="D38" s="27">
        <f t="shared" si="2"/>
        <v>50.51473992</v>
      </c>
    </row>
    <row r="39">
      <c r="A39" s="24">
        <v>64.0</v>
      </c>
      <c r="B39" s="25">
        <v>64.9063047624558</v>
      </c>
      <c r="C39" s="26">
        <f t="shared" si="1"/>
        <v>0.9860367222</v>
      </c>
      <c r="D39" s="27">
        <f t="shared" si="2"/>
        <v>59.16220333</v>
      </c>
    </row>
    <row r="40">
      <c r="A40" s="24">
        <v>18.0</v>
      </c>
      <c r="B40" s="25">
        <v>21.3619923610158</v>
      </c>
      <c r="C40" s="26">
        <f t="shared" si="1"/>
        <v>0.8426180337</v>
      </c>
      <c r="D40" s="27">
        <f t="shared" si="2"/>
        <v>50.55708202</v>
      </c>
    </row>
    <row r="41">
      <c r="A41" s="24">
        <v>43.0</v>
      </c>
      <c r="B41" s="25">
        <v>71.5006823865039</v>
      </c>
      <c r="C41" s="26">
        <f t="shared" si="1"/>
        <v>0.6013928618</v>
      </c>
      <c r="D41" s="27">
        <f t="shared" si="2"/>
        <v>36.08357171</v>
      </c>
    </row>
    <row r="42">
      <c r="A42" s="24">
        <v>72.0</v>
      </c>
      <c r="B42" s="25">
        <v>85.7174169632576</v>
      </c>
      <c r="C42" s="26">
        <f t="shared" si="1"/>
        <v>0.8399693149</v>
      </c>
      <c r="D42" s="27">
        <f t="shared" si="2"/>
        <v>50.39815889</v>
      </c>
    </row>
    <row r="43">
      <c r="A43" s="24">
        <v>26.0</v>
      </c>
      <c r="B43" s="25">
        <v>34.8207565543804</v>
      </c>
      <c r="C43" s="26">
        <f t="shared" si="1"/>
        <v>0.7466810768</v>
      </c>
      <c r="D43" s="27">
        <f t="shared" si="2"/>
        <v>44.80086461</v>
      </c>
    </row>
    <row r="44">
      <c r="A44" s="24">
        <v>60.0</v>
      </c>
      <c r="B44" s="25">
        <v>79.2515886827251</v>
      </c>
      <c r="C44" s="26">
        <f t="shared" si="1"/>
        <v>0.757082615</v>
      </c>
      <c r="D44" s="27">
        <f t="shared" si="2"/>
        <v>45.4249569</v>
      </c>
    </row>
    <row r="45">
      <c r="A45" s="24">
        <v>45.0</v>
      </c>
      <c r="B45" s="25">
        <v>63.1737353121162</v>
      </c>
      <c r="C45" s="26">
        <f t="shared" si="1"/>
        <v>0.7123213433</v>
      </c>
      <c r="D45" s="27">
        <f t="shared" si="2"/>
        <v>42.7392806</v>
      </c>
    </row>
    <row r="46">
      <c r="A46" s="24">
        <v>100.0</v>
      </c>
      <c r="B46" s="25">
        <v>111.654203370117</v>
      </c>
      <c r="C46" s="26">
        <f t="shared" si="1"/>
        <v>0.8956223499</v>
      </c>
      <c r="D46" s="27">
        <f t="shared" si="2"/>
        <v>53.73734099</v>
      </c>
    </row>
    <row r="47">
      <c r="A47" s="24">
        <v>78.0</v>
      </c>
      <c r="B47" s="25">
        <v>89.8763655343423</v>
      </c>
      <c r="C47" s="26">
        <f t="shared" si="1"/>
        <v>0.8678588585</v>
      </c>
      <c r="D47" s="27">
        <f t="shared" si="2"/>
        <v>52.07153151</v>
      </c>
    </row>
    <row r="48">
      <c r="A48" s="24">
        <v>60.0</v>
      </c>
      <c r="B48" s="25">
        <v>80.1618299339971</v>
      </c>
      <c r="C48" s="26">
        <f t="shared" si="1"/>
        <v>0.7484859072</v>
      </c>
      <c r="D48" s="27">
        <f t="shared" si="2"/>
        <v>44.90915443</v>
      </c>
    </row>
    <row r="49">
      <c r="A49" s="24">
        <v>71.0</v>
      </c>
      <c r="B49" s="25">
        <v>67.1409344287175</v>
      </c>
      <c r="C49" s="26">
        <f t="shared" si="1"/>
        <v>1.057477091</v>
      </c>
      <c r="D49" s="27">
        <f t="shared" si="2"/>
        <v>63.44862544</v>
      </c>
    </row>
    <row r="50">
      <c r="A50" s="24">
        <v>108.0</v>
      </c>
      <c r="B50" s="25">
        <v>98.6265613734989</v>
      </c>
      <c r="C50" s="26">
        <f t="shared" si="1"/>
        <v>1.095039698</v>
      </c>
      <c r="D50" s="27">
        <f t="shared" si="2"/>
        <v>65.70238189</v>
      </c>
    </row>
    <row r="51">
      <c r="A51" s="24">
        <v>37.0</v>
      </c>
      <c r="B51" s="25">
        <v>47.0753733930516</v>
      </c>
      <c r="C51" s="26">
        <f t="shared" si="1"/>
        <v>0.7859735852</v>
      </c>
      <c r="D51" s="27">
        <f t="shared" si="2"/>
        <v>47.15841511</v>
      </c>
    </row>
    <row r="52">
      <c r="A52" s="24">
        <v>23.0</v>
      </c>
      <c r="B52" s="25">
        <v>27.3535736765822</v>
      </c>
      <c r="C52" s="26">
        <f t="shared" si="1"/>
        <v>0.8408407717</v>
      </c>
      <c r="D52" s="27">
        <f t="shared" si="2"/>
        <v>50.4504463</v>
      </c>
    </row>
    <row r="53">
      <c r="A53" s="24">
        <v>69.0</v>
      </c>
      <c r="B53" s="25">
        <v>99.4711680008477</v>
      </c>
      <c r="C53" s="26">
        <f t="shared" si="1"/>
        <v>0.6936683402</v>
      </c>
      <c r="D53" s="27">
        <f t="shared" si="2"/>
        <v>41.62010041</v>
      </c>
    </row>
    <row r="54">
      <c r="A54" s="24">
        <v>89.0</v>
      </c>
      <c r="B54" s="25">
        <v>116.677227952896</v>
      </c>
      <c r="C54" s="26">
        <f t="shared" si="1"/>
        <v>0.7627880912</v>
      </c>
      <c r="D54" s="27">
        <f t="shared" si="2"/>
        <v>45.76728547</v>
      </c>
    </row>
    <row r="55">
      <c r="A55" s="24">
        <v>107.0</v>
      </c>
      <c r="B55" s="25">
        <v>117.586003447458</v>
      </c>
      <c r="C55" s="26">
        <f t="shared" si="1"/>
        <v>0.9099722489</v>
      </c>
      <c r="D55" s="27">
        <f t="shared" si="2"/>
        <v>54.59833494</v>
      </c>
    </row>
    <row r="56">
      <c r="A56" s="24">
        <v>48.0</v>
      </c>
      <c r="B56" s="25">
        <v>52.0377699031769</v>
      </c>
      <c r="C56" s="26">
        <f t="shared" si="1"/>
        <v>0.9224069381</v>
      </c>
      <c r="D56" s="27">
        <f t="shared" si="2"/>
        <v>55.34441628</v>
      </c>
    </row>
    <row r="57">
      <c r="A57" s="24">
        <v>87.0</v>
      </c>
      <c r="B57" s="25">
        <v>117.42635001762</v>
      </c>
      <c r="C57" s="26">
        <f t="shared" si="1"/>
        <v>0.7408899279</v>
      </c>
      <c r="D57" s="27">
        <f t="shared" si="2"/>
        <v>44.45339567</v>
      </c>
    </row>
    <row r="58">
      <c r="A58" s="24">
        <v>50.0</v>
      </c>
      <c r="B58" s="25">
        <v>157.536377025972</v>
      </c>
      <c r="C58" s="26">
        <f t="shared" si="1"/>
        <v>0.3173870121</v>
      </c>
      <c r="D58" s="27">
        <f t="shared" si="2"/>
        <v>19.04322073</v>
      </c>
    </row>
    <row r="59">
      <c r="A59" s="24">
        <v>82.0</v>
      </c>
      <c r="B59" s="25">
        <v>105.640353604707</v>
      </c>
      <c r="C59" s="26">
        <f t="shared" si="1"/>
        <v>0.7762185302</v>
      </c>
      <c r="D59" s="27">
        <f t="shared" si="2"/>
        <v>46.57311181</v>
      </c>
    </row>
    <row r="60">
      <c r="A60" s="24">
        <v>26.0</v>
      </c>
      <c r="B60" s="25">
        <v>32.2939101797005</v>
      </c>
      <c r="C60" s="26">
        <f t="shared" si="1"/>
        <v>0.8051053544</v>
      </c>
      <c r="D60" s="27">
        <f t="shared" si="2"/>
        <v>48.30632126</v>
      </c>
    </row>
    <row r="61">
      <c r="A61" s="24">
        <v>69.0</v>
      </c>
      <c r="B61" s="25">
        <v>67.9932071684524</v>
      </c>
      <c r="C61" s="26">
        <f t="shared" si="1"/>
        <v>1.014807256</v>
      </c>
      <c r="D61" s="27">
        <f t="shared" si="2"/>
        <v>60.88843537</v>
      </c>
    </row>
    <row r="62">
      <c r="A62" s="24">
        <v>76.0</v>
      </c>
      <c r="B62" s="25">
        <v>76.3694915428008</v>
      </c>
      <c r="C62" s="26">
        <f t="shared" si="1"/>
        <v>0.9951617912</v>
      </c>
      <c r="D62" s="27">
        <f t="shared" si="2"/>
        <v>59.70970747</v>
      </c>
    </row>
    <row r="63">
      <c r="A63" s="24">
        <v>50.0</v>
      </c>
      <c r="B63" s="25">
        <v>50.8139516178369</v>
      </c>
      <c r="C63" s="26">
        <f t="shared" si="1"/>
        <v>0.9839817296</v>
      </c>
      <c r="D63" s="27">
        <f t="shared" si="2"/>
        <v>59.03890378</v>
      </c>
    </row>
    <row r="64">
      <c r="A64" s="24">
        <v>63.0</v>
      </c>
      <c r="B64" s="25">
        <v>73.5936615577216</v>
      </c>
      <c r="C64" s="26">
        <f t="shared" si="1"/>
        <v>0.8560519842</v>
      </c>
      <c r="D64" s="27">
        <f t="shared" si="2"/>
        <v>51.36311905</v>
      </c>
    </row>
    <row r="65">
      <c r="A65" s="24">
        <v>100.0</v>
      </c>
      <c r="B65" s="25">
        <v>135.783795825279</v>
      </c>
      <c r="C65" s="26">
        <f t="shared" si="1"/>
        <v>0.7364649028</v>
      </c>
      <c r="D65" s="27">
        <f t="shared" si="2"/>
        <v>44.18789417</v>
      </c>
    </row>
    <row r="66">
      <c r="A66" s="24">
        <v>93.0</v>
      </c>
      <c r="B66" s="25">
        <v>109.881022654205</v>
      </c>
      <c r="C66" s="26">
        <f t="shared" si="1"/>
        <v>0.8463699896</v>
      </c>
      <c r="D66" s="27">
        <f t="shared" si="2"/>
        <v>50.78219938</v>
      </c>
    </row>
    <row r="67">
      <c r="A67" s="24">
        <v>83.0</v>
      </c>
      <c r="B67" s="25">
        <v>112.153709241055</v>
      </c>
      <c r="C67" s="26">
        <f t="shared" si="1"/>
        <v>0.7400557731</v>
      </c>
      <c r="D67" s="27">
        <f t="shared" si="2"/>
        <v>44.40334639</v>
      </c>
    </row>
    <row r="68">
      <c r="A68" s="24">
        <v>90.0</v>
      </c>
      <c r="B68" s="25">
        <v>121.554268957234</v>
      </c>
      <c r="C68" s="26">
        <f t="shared" si="1"/>
        <v>0.7404100306</v>
      </c>
      <c r="D68" s="27">
        <f t="shared" si="2"/>
        <v>44.42460184</v>
      </c>
    </row>
    <row r="69">
      <c r="A69" s="24">
        <v>89.0</v>
      </c>
      <c r="B69" s="25">
        <v>120.981794037673</v>
      </c>
      <c r="C69" s="26">
        <f t="shared" si="1"/>
        <v>0.7356478775</v>
      </c>
      <c r="D69" s="27">
        <f t="shared" si="2"/>
        <v>44.13887265</v>
      </c>
    </row>
    <row r="70">
      <c r="A70" s="24">
        <v>117.0</v>
      </c>
      <c r="B70" s="25">
        <v>120.396372808158</v>
      </c>
      <c r="C70" s="26">
        <f t="shared" si="1"/>
        <v>0.9717900737</v>
      </c>
      <c r="D70" s="27">
        <f t="shared" si="2"/>
        <v>58.30740442</v>
      </c>
    </row>
    <row r="71">
      <c r="A71" s="24">
        <v>66.0</v>
      </c>
      <c r="B71" s="25">
        <v>61.2735395789229</v>
      </c>
      <c r="C71" s="26">
        <f t="shared" si="1"/>
        <v>1.077137055</v>
      </c>
      <c r="D71" s="27">
        <f t="shared" si="2"/>
        <v>64.62822333</v>
      </c>
    </row>
    <row r="72">
      <c r="A72" s="24">
        <v>24.0</v>
      </c>
      <c r="B72" s="25">
        <v>40.5796499049504</v>
      </c>
      <c r="C72" s="26">
        <f t="shared" si="1"/>
        <v>0.5914294494</v>
      </c>
      <c r="D72" s="27">
        <f t="shared" si="2"/>
        <v>35.48576696</v>
      </c>
    </row>
    <row r="73">
      <c r="A73" s="24">
        <v>10.0</v>
      </c>
      <c r="B73" s="25">
        <v>12.4484253802928</v>
      </c>
      <c r="C73" s="26">
        <f t="shared" si="1"/>
        <v>0.803314451</v>
      </c>
      <c r="D73" s="27">
        <f t="shared" si="2"/>
        <v>48.19886706</v>
      </c>
    </row>
    <row r="74">
      <c r="A74" s="24">
        <v>33.0</v>
      </c>
      <c r="B74" s="25">
        <v>45.6546376161839</v>
      </c>
      <c r="C74" s="26">
        <f t="shared" si="1"/>
        <v>0.7228181347</v>
      </c>
      <c r="D74" s="27">
        <f t="shared" si="2"/>
        <v>43.36908808</v>
      </c>
    </row>
    <row r="75">
      <c r="A75" s="24">
        <v>26.0</v>
      </c>
      <c r="B75" s="25">
        <v>54.988802745483</v>
      </c>
      <c r="C75" s="26">
        <f t="shared" si="1"/>
        <v>0.4728235332</v>
      </c>
      <c r="D75" s="27">
        <f t="shared" si="2"/>
        <v>28.36941199</v>
      </c>
    </row>
    <row r="76">
      <c r="A76" s="24">
        <v>115.0</v>
      </c>
      <c r="B76" s="25">
        <v>257.278941036937</v>
      </c>
      <c r="C76" s="26">
        <f t="shared" si="1"/>
        <v>0.4469856706</v>
      </c>
      <c r="D76" s="27">
        <f t="shared" si="2"/>
        <v>26.81914024</v>
      </c>
    </row>
    <row r="77">
      <c r="A77" s="24">
        <v>32.0</v>
      </c>
      <c r="B77" s="25">
        <v>31.8586434389562</v>
      </c>
      <c r="C77" s="26">
        <f t="shared" si="1"/>
        <v>1.004436992</v>
      </c>
      <c r="D77" s="27">
        <f t="shared" si="2"/>
        <v>60.26621955</v>
      </c>
    </row>
    <row r="78">
      <c r="A78" s="24">
        <v>99.0</v>
      </c>
      <c r="B78" s="25">
        <v>135.216517485844</v>
      </c>
      <c r="C78" s="26">
        <f t="shared" si="1"/>
        <v>0.7321590723</v>
      </c>
      <c r="D78" s="27">
        <f t="shared" si="2"/>
        <v>43.92954434</v>
      </c>
    </row>
    <row r="79">
      <c r="A79" s="24">
        <v>51.0</v>
      </c>
      <c r="B79" s="25">
        <v>83.0924679736131</v>
      </c>
      <c r="C79" s="26">
        <f t="shared" si="1"/>
        <v>0.6137740429</v>
      </c>
      <c r="D79" s="27">
        <f t="shared" si="2"/>
        <v>36.82644257</v>
      </c>
    </row>
    <row r="80">
      <c r="A80" s="24">
        <v>116.0</v>
      </c>
      <c r="B80" s="25">
        <v>198.210546520734</v>
      </c>
      <c r="C80" s="26">
        <f t="shared" si="1"/>
        <v>0.5852362654</v>
      </c>
      <c r="D80" s="27">
        <f t="shared" si="2"/>
        <v>35.11417592</v>
      </c>
    </row>
    <row r="81">
      <c r="A81" s="24">
        <v>105.0</v>
      </c>
      <c r="B81" s="25">
        <v>110.900850551153</v>
      </c>
      <c r="C81" s="26">
        <f t="shared" si="1"/>
        <v>0.9467916565</v>
      </c>
      <c r="D81" s="27">
        <f t="shared" si="2"/>
        <v>56.80749939</v>
      </c>
    </row>
    <row r="82">
      <c r="A82" s="24">
        <v>94.0</v>
      </c>
      <c r="B82" s="25">
        <v>105.258431149931</v>
      </c>
      <c r="C82" s="26">
        <f t="shared" si="1"/>
        <v>0.8930401011</v>
      </c>
      <c r="D82" s="27">
        <f t="shared" si="2"/>
        <v>53.58240607</v>
      </c>
    </row>
    <row r="83">
      <c r="A83" s="24">
        <v>114.0</v>
      </c>
      <c r="B83" s="25">
        <v>110.148361423039</v>
      </c>
      <c r="C83" s="26">
        <f t="shared" si="1"/>
        <v>1.034967734</v>
      </c>
      <c r="D83" s="27">
        <f t="shared" si="2"/>
        <v>62.09806403</v>
      </c>
    </row>
    <row r="84">
      <c r="A84" s="24">
        <v>65.0</v>
      </c>
      <c r="B84" s="25">
        <v>69.1748555461994</v>
      </c>
      <c r="C84" s="26">
        <f t="shared" si="1"/>
        <v>0.939647788</v>
      </c>
      <c r="D84" s="27">
        <f t="shared" si="2"/>
        <v>56.37886728</v>
      </c>
    </row>
    <row r="85">
      <c r="A85" s="24">
        <v>81.0</v>
      </c>
      <c r="B85" s="25">
        <v>100.514904181336</v>
      </c>
      <c r="C85" s="26">
        <f t="shared" si="1"/>
        <v>0.8058506414</v>
      </c>
      <c r="D85" s="27">
        <f t="shared" si="2"/>
        <v>48.35103848</v>
      </c>
    </row>
    <row r="86">
      <c r="A86" s="24">
        <v>113.0</v>
      </c>
      <c r="B86" s="25">
        <v>165.749040165947</v>
      </c>
      <c r="C86" s="26">
        <f t="shared" si="1"/>
        <v>0.6817535709</v>
      </c>
      <c r="D86" s="27">
        <f t="shared" si="2"/>
        <v>40.90521425</v>
      </c>
    </row>
    <row r="87">
      <c r="A87" s="24">
        <v>119.0</v>
      </c>
      <c r="B87" s="25">
        <v>124.145272110555</v>
      </c>
      <c r="C87" s="26">
        <f t="shared" si="1"/>
        <v>0.9585544256</v>
      </c>
      <c r="D87" s="27">
        <f t="shared" si="2"/>
        <v>57.51326554</v>
      </c>
    </row>
    <row r="88">
      <c r="A88" s="24">
        <v>100.0</v>
      </c>
      <c r="B88" s="25">
        <v>104.94594524116</v>
      </c>
      <c r="C88" s="26">
        <f t="shared" si="1"/>
        <v>0.9528714975</v>
      </c>
      <c r="D88" s="27">
        <f t="shared" si="2"/>
        <v>57.17228985</v>
      </c>
    </row>
    <row r="89">
      <c r="A89" s="24">
        <v>24.0</v>
      </c>
      <c r="B89" s="25">
        <v>21.1156050819392</v>
      </c>
      <c r="C89" s="26">
        <f t="shared" si="1"/>
        <v>1.136600155</v>
      </c>
      <c r="D89" s="27">
        <f t="shared" si="2"/>
        <v>68.19600927</v>
      </c>
    </row>
    <row r="90">
      <c r="A90" s="24">
        <v>76.0</v>
      </c>
      <c r="B90" s="25">
        <v>88.5750334537881</v>
      </c>
      <c r="C90" s="26">
        <f t="shared" si="1"/>
        <v>0.8580295941</v>
      </c>
      <c r="D90" s="27">
        <f t="shared" si="2"/>
        <v>51.48177564</v>
      </c>
    </row>
    <row r="91">
      <c r="A91" s="24">
        <v>66.0</v>
      </c>
      <c r="B91" s="25">
        <v>94.6063138334708</v>
      </c>
      <c r="C91" s="26">
        <f t="shared" si="1"/>
        <v>0.6976278572</v>
      </c>
      <c r="D91" s="27">
        <f t="shared" si="2"/>
        <v>41.85767143</v>
      </c>
    </row>
    <row r="92">
      <c r="A92" s="24">
        <v>81.0</v>
      </c>
      <c r="B92" s="25">
        <v>98.5275857163668</v>
      </c>
      <c r="C92" s="26">
        <f t="shared" si="1"/>
        <v>0.8221047883</v>
      </c>
      <c r="D92" s="27">
        <f t="shared" si="2"/>
        <v>49.3262873</v>
      </c>
    </row>
    <row r="93">
      <c r="A93" s="24">
        <v>29.0</v>
      </c>
      <c r="B93" s="25">
        <v>61.7729064804143</v>
      </c>
      <c r="C93" s="26">
        <f t="shared" si="1"/>
        <v>0.4694614784</v>
      </c>
      <c r="D93" s="27">
        <f t="shared" si="2"/>
        <v>28.1676887</v>
      </c>
    </row>
    <row r="94">
      <c r="A94" s="24">
        <v>76.0</v>
      </c>
      <c r="B94" s="25">
        <v>115.764207854064</v>
      </c>
      <c r="C94" s="26">
        <f t="shared" si="1"/>
        <v>0.6565068894</v>
      </c>
      <c r="D94" s="27">
        <f t="shared" si="2"/>
        <v>39.39041336</v>
      </c>
    </row>
    <row r="95">
      <c r="A95" s="24">
        <v>40.0</v>
      </c>
      <c r="B95" s="25">
        <v>57.2231759428984</v>
      </c>
      <c r="C95" s="26">
        <f t="shared" si="1"/>
        <v>0.6990174757</v>
      </c>
      <c r="D95" s="27">
        <f t="shared" si="2"/>
        <v>41.94104854</v>
      </c>
    </row>
    <row r="96">
      <c r="A96" s="24">
        <v>84.0</v>
      </c>
      <c r="B96" s="25">
        <v>164.818718003308</v>
      </c>
      <c r="C96" s="26">
        <f t="shared" si="1"/>
        <v>0.5096508517</v>
      </c>
      <c r="D96" s="27">
        <f t="shared" si="2"/>
        <v>30.5790511</v>
      </c>
    </row>
    <row r="97">
      <c r="A97" s="24">
        <v>48.0</v>
      </c>
      <c r="B97" s="25">
        <v>52.3686006387437</v>
      </c>
      <c r="C97" s="26">
        <f t="shared" si="1"/>
        <v>0.9165797714</v>
      </c>
      <c r="D97" s="27">
        <f t="shared" si="2"/>
        <v>54.99478628</v>
      </c>
    </row>
    <row r="98">
      <c r="A98" s="24">
        <v>54.0</v>
      </c>
      <c r="B98" s="25">
        <v>57.1922334339742</v>
      </c>
      <c r="C98" s="26">
        <f t="shared" si="1"/>
        <v>0.9441841446</v>
      </c>
      <c r="D98" s="27">
        <f t="shared" si="2"/>
        <v>56.65104867</v>
      </c>
    </row>
    <row r="99">
      <c r="A99" s="24">
        <v>45.0</v>
      </c>
      <c r="B99" s="25">
        <v>76.8201411801587</v>
      </c>
      <c r="C99" s="26">
        <f t="shared" si="1"/>
        <v>0.5857838753</v>
      </c>
      <c r="D99" s="27">
        <f t="shared" si="2"/>
        <v>35.14703252</v>
      </c>
    </row>
    <row r="100">
      <c r="A100" s="24">
        <v>48.0</v>
      </c>
      <c r="B100" s="25">
        <v>76.9090903211965</v>
      </c>
      <c r="C100" s="26">
        <f t="shared" si="1"/>
        <v>0.6241134799</v>
      </c>
      <c r="D100" s="27">
        <f t="shared" si="2"/>
        <v>37.4468088</v>
      </c>
    </row>
    <row r="101">
      <c r="A101" s="24">
        <v>119.0</v>
      </c>
      <c r="B101" s="25">
        <v>129.149139619227</v>
      </c>
      <c r="C101" s="26">
        <f t="shared" si="1"/>
        <v>0.9214153524</v>
      </c>
      <c r="D101" s="27">
        <f t="shared" si="2"/>
        <v>55.28492115</v>
      </c>
    </row>
    <row r="102">
      <c r="A102" s="24">
        <v>11.0</v>
      </c>
      <c r="B102" s="25">
        <v>15.266417053127</v>
      </c>
      <c r="C102" s="26">
        <f t="shared" si="1"/>
        <v>0.7205357984</v>
      </c>
      <c r="D102" s="27">
        <f t="shared" si="2"/>
        <v>43.2321479</v>
      </c>
    </row>
    <row r="103">
      <c r="A103" s="24">
        <v>55.0</v>
      </c>
      <c r="B103" s="25">
        <v>59.6646057135</v>
      </c>
      <c r="C103" s="26">
        <f t="shared" si="1"/>
        <v>0.9218195502</v>
      </c>
      <c r="D103" s="27">
        <f t="shared" si="2"/>
        <v>55.30917301</v>
      </c>
    </row>
    <row r="104">
      <c r="A104" s="24">
        <v>112.0</v>
      </c>
      <c r="B104" s="25">
        <v>101.237025495478</v>
      </c>
      <c r="C104" s="26">
        <f t="shared" si="1"/>
        <v>1.106314606</v>
      </c>
      <c r="D104" s="27">
        <f t="shared" si="2"/>
        <v>66.37887638</v>
      </c>
    </row>
    <row r="105">
      <c r="A105" s="24">
        <v>75.0</v>
      </c>
      <c r="B105" s="25">
        <v>118.784686507521</v>
      </c>
      <c r="C105" s="26">
        <f t="shared" si="1"/>
        <v>0.631394519</v>
      </c>
      <c r="D105" s="27">
        <f t="shared" si="2"/>
        <v>37.88367114</v>
      </c>
    </row>
    <row r="106">
      <c r="A106" s="24">
        <v>85.0</v>
      </c>
      <c r="B106" s="25">
        <v>107.083158518289</v>
      </c>
      <c r="C106" s="26">
        <f t="shared" si="1"/>
        <v>0.7937756149</v>
      </c>
      <c r="D106" s="27">
        <f t="shared" si="2"/>
        <v>47.62653689</v>
      </c>
    </row>
    <row r="107">
      <c r="A107" s="24">
        <v>36.0</v>
      </c>
      <c r="B107" s="25">
        <v>40.1215897206319</v>
      </c>
      <c r="C107" s="26">
        <f t="shared" si="1"/>
        <v>0.8972725221</v>
      </c>
      <c r="D107" s="27">
        <f t="shared" si="2"/>
        <v>53.83635133</v>
      </c>
    </row>
    <row r="108">
      <c r="A108" s="24">
        <v>64.0</v>
      </c>
      <c r="B108" s="25">
        <v>73.9925216225478</v>
      </c>
      <c r="C108" s="26">
        <f t="shared" si="1"/>
        <v>0.8649522762</v>
      </c>
      <c r="D108" s="27">
        <f t="shared" si="2"/>
        <v>51.89713657</v>
      </c>
    </row>
    <row r="109">
      <c r="A109" s="24">
        <v>56.0</v>
      </c>
      <c r="B109" s="25">
        <v>134.6972401606</v>
      </c>
      <c r="C109" s="26">
        <f t="shared" si="1"/>
        <v>0.4157471967</v>
      </c>
      <c r="D109" s="27">
        <f t="shared" si="2"/>
        <v>24.9448318</v>
      </c>
    </row>
    <row r="110">
      <c r="A110" s="24">
        <v>60.0</v>
      </c>
      <c r="B110" s="25">
        <v>70.0455907949978</v>
      </c>
      <c r="C110" s="26">
        <f t="shared" si="1"/>
        <v>0.8565849659</v>
      </c>
      <c r="D110" s="27">
        <f t="shared" si="2"/>
        <v>51.39509795</v>
      </c>
    </row>
    <row r="111">
      <c r="A111" s="24">
        <v>84.0</v>
      </c>
      <c r="B111" s="25">
        <v>98.9818841894144</v>
      </c>
      <c r="C111" s="26">
        <f t="shared" si="1"/>
        <v>0.8486401394</v>
      </c>
      <c r="D111" s="27">
        <f t="shared" si="2"/>
        <v>50.91840837</v>
      </c>
    </row>
    <row r="112">
      <c r="A112" s="24">
        <v>97.0</v>
      </c>
      <c r="B112" s="25">
        <v>293.52944315906</v>
      </c>
      <c r="C112" s="26">
        <f t="shared" si="1"/>
        <v>0.3304608865</v>
      </c>
      <c r="D112" s="27">
        <f t="shared" si="2"/>
        <v>19.82765319</v>
      </c>
    </row>
    <row r="113">
      <c r="A113" s="24">
        <v>104.0</v>
      </c>
      <c r="B113" s="25">
        <v>145.706377019304</v>
      </c>
      <c r="C113" s="26">
        <f t="shared" si="1"/>
        <v>0.71376423</v>
      </c>
      <c r="D113" s="27">
        <f t="shared" si="2"/>
        <v>42.8258538</v>
      </c>
    </row>
    <row r="114">
      <c r="A114" s="24">
        <v>94.0</v>
      </c>
      <c r="B114" s="25">
        <v>100.322012758309</v>
      </c>
      <c r="C114" s="26">
        <f t="shared" si="1"/>
        <v>0.9369827959</v>
      </c>
      <c r="D114" s="27">
        <f t="shared" si="2"/>
        <v>56.21896775</v>
      </c>
    </row>
    <row r="115">
      <c r="A115" s="24">
        <v>88.0</v>
      </c>
      <c r="B115" s="25">
        <v>109.15052785691</v>
      </c>
      <c r="C115" s="26">
        <f t="shared" si="1"/>
        <v>0.8062260598</v>
      </c>
      <c r="D115" s="27">
        <f t="shared" si="2"/>
        <v>48.37356359</v>
      </c>
    </row>
    <row r="116">
      <c r="A116" s="24">
        <v>51.0</v>
      </c>
      <c r="B116" s="25">
        <v>70.4411745773291</v>
      </c>
      <c r="C116" s="26">
        <f t="shared" si="1"/>
        <v>0.7240083702</v>
      </c>
      <c r="D116" s="27">
        <f t="shared" si="2"/>
        <v>43.44050221</v>
      </c>
    </row>
    <row r="117">
      <c r="A117" s="24">
        <v>59.0</v>
      </c>
      <c r="B117" s="25">
        <v>72.0673522219587</v>
      </c>
      <c r="C117" s="26">
        <f t="shared" si="1"/>
        <v>0.8186786136</v>
      </c>
      <c r="D117" s="27">
        <f t="shared" si="2"/>
        <v>49.12071681</v>
      </c>
    </row>
    <row r="118">
      <c r="A118" s="24">
        <v>24.0</v>
      </c>
      <c r="B118" s="25">
        <v>28.2824503125461</v>
      </c>
      <c r="C118" s="26">
        <f t="shared" si="1"/>
        <v>0.848582769</v>
      </c>
      <c r="D118" s="27">
        <f t="shared" si="2"/>
        <v>50.91496614</v>
      </c>
    </row>
    <row r="119">
      <c r="A119" s="24">
        <v>30.0</v>
      </c>
      <c r="B119" s="25">
        <v>30.8937885303088</v>
      </c>
      <c r="C119" s="26">
        <f t="shared" si="1"/>
        <v>0.9710689892</v>
      </c>
      <c r="D119" s="27">
        <f t="shared" si="2"/>
        <v>58.26413935</v>
      </c>
    </row>
    <row r="120">
      <c r="A120" s="24">
        <v>73.0</v>
      </c>
      <c r="B120" s="25">
        <v>82.3367591436225</v>
      </c>
      <c r="C120" s="26">
        <f t="shared" si="1"/>
        <v>0.8866027854</v>
      </c>
      <c r="D120" s="27">
        <f t="shared" si="2"/>
        <v>53.19616713</v>
      </c>
    </row>
    <row r="121">
      <c r="A121" s="24">
        <v>65.0</v>
      </c>
      <c r="B121" s="25">
        <v>89.8224083016226</v>
      </c>
      <c r="C121" s="26">
        <f t="shared" si="1"/>
        <v>0.7236501585</v>
      </c>
      <c r="D121" s="27">
        <f t="shared" si="2"/>
        <v>43.41900951</v>
      </c>
    </row>
    <row r="122">
      <c r="A122" s="24">
        <v>100.0</v>
      </c>
      <c r="B122" s="25">
        <v>132.694613909421</v>
      </c>
      <c r="C122" s="26">
        <f t="shared" si="1"/>
        <v>0.7536100905</v>
      </c>
      <c r="D122" s="27">
        <f t="shared" si="2"/>
        <v>45.21660543</v>
      </c>
    </row>
    <row r="123">
      <c r="A123" s="24">
        <v>78.0</v>
      </c>
      <c r="B123" s="25">
        <v>119.597144417466</v>
      </c>
      <c r="C123" s="26">
        <f t="shared" si="1"/>
        <v>0.6521894848</v>
      </c>
      <c r="D123" s="27">
        <f t="shared" si="2"/>
        <v>39.13136909</v>
      </c>
    </row>
    <row r="124">
      <c r="A124" s="24">
        <v>20.0</v>
      </c>
      <c r="B124" s="25">
        <v>18.414685952015</v>
      </c>
      <c r="C124" s="26">
        <f t="shared" si="1"/>
        <v>1.08608966</v>
      </c>
      <c r="D124" s="27">
        <f t="shared" si="2"/>
        <v>65.16537958</v>
      </c>
    </row>
    <row r="125">
      <c r="A125" s="24">
        <v>109.0</v>
      </c>
      <c r="B125" s="25">
        <v>174.401574421763</v>
      </c>
      <c r="C125" s="26">
        <f t="shared" si="1"/>
        <v>0.6249943578</v>
      </c>
      <c r="D125" s="27">
        <f t="shared" si="2"/>
        <v>37.49966147</v>
      </c>
    </row>
    <row r="126">
      <c r="A126" s="24">
        <v>14.0</v>
      </c>
      <c r="B126" s="25">
        <v>17.1180196772884</v>
      </c>
      <c r="C126" s="26">
        <f t="shared" si="1"/>
        <v>0.8178516127</v>
      </c>
      <c r="D126" s="27">
        <f t="shared" si="2"/>
        <v>49.07109676</v>
      </c>
    </row>
    <row r="127">
      <c r="A127" s="24">
        <v>18.0</v>
      </c>
      <c r="B127" s="25">
        <v>16.3493787296811</v>
      </c>
      <c r="C127" s="26">
        <f t="shared" si="1"/>
        <v>1.100959266</v>
      </c>
      <c r="D127" s="27">
        <f t="shared" si="2"/>
        <v>66.05755594</v>
      </c>
    </row>
    <row r="128">
      <c r="A128" s="24">
        <v>15.0</v>
      </c>
      <c r="B128" s="25">
        <v>14.9589363166172</v>
      </c>
      <c r="C128" s="26">
        <f t="shared" si="1"/>
        <v>1.002745094</v>
      </c>
      <c r="D128" s="27">
        <f t="shared" si="2"/>
        <v>60.16470563</v>
      </c>
    </row>
    <row r="129">
      <c r="A129" s="24">
        <v>109.0</v>
      </c>
      <c r="B129" s="25">
        <v>209.413482942449</v>
      </c>
      <c r="C129" s="26">
        <f t="shared" si="1"/>
        <v>0.5205013472</v>
      </c>
      <c r="D129" s="27">
        <f t="shared" si="2"/>
        <v>31.23008083</v>
      </c>
    </row>
    <row r="130">
      <c r="A130" s="24">
        <v>25.0</v>
      </c>
      <c r="B130" s="25">
        <v>25.8904373439394</v>
      </c>
      <c r="C130" s="26">
        <f t="shared" si="1"/>
        <v>0.9656074816</v>
      </c>
      <c r="D130" s="27">
        <f t="shared" si="2"/>
        <v>57.93644889</v>
      </c>
    </row>
    <row r="131">
      <c r="A131" s="24">
        <v>33.0</v>
      </c>
      <c r="B131" s="25">
        <v>36.9242665427453</v>
      </c>
      <c r="C131" s="26">
        <f t="shared" si="1"/>
        <v>0.8937212053</v>
      </c>
      <c r="D131" s="27">
        <f t="shared" si="2"/>
        <v>53.62327232</v>
      </c>
    </row>
    <row r="132">
      <c r="A132" s="24">
        <v>52.0</v>
      </c>
      <c r="B132" s="25">
        <v>52.6930732137513</v>
      </c>
      <c r="C132" s="26">
        <f t="shared" si="1"/>
        <v>0.9868469768</v>
      </c>
      <c r="D132" s="27">
        <f t="shared" si="2"/>
        <v>59.21081861</v>
      </c>
    </row>
    <row r="133">
      <c r="A133" s="24">
        <v>120.0</v>
      </c>
      <c r="B133" s="25">
        <v>209.921549507626</v>
      </c>
      <c r="C133" s="26">
        <f t="shared" si="1"/>
        <v>0.5716421219</v>
      </c>
      <c r="D133" s="27">
        <f t="shared" si="2"/>
        <v>34.29852732</v>
      </c>
    </row>
    <row r="134">
      <c r="A134" s="24">
        <v>50.0</v>
      </c>
      <c r="B134" s="25">
        <v>61.9682242697451</v>
      </c>
      <c r="C134" s="26">
        <f t="shared" si="1"/>
        <v>0.8068651408</v>
      </c>
      <c r="D134" s="27">
        <f t="shared" si="2"/>
        <v>48.41190845</v>
      </c>
    </row>
    <row r="135">
      <c r="A135" s="24">
        <v>104.0</v>
      </c>
      <c r="B135" s="25">
        <v>157.568851496535</v>
      </c>
      <c r="C135" s="26">
        <f t="shared" si="1"/>
        <v>0.6600289271</v>
      </c>
      <c r="D135" s="27">
        <f t="shared" si="2"/>
        <v>39.60173563</v>
      </c>
    </row>
    <row r="136">
      <c r="A136" s="24">
        <v>20.0</v>
      </c>
      <c r="B136" s="25">
        <v>24.1586680742392</v>
      </c>
      <c r="C136" s="26">
        <f t="shared" si="1"/>
        <v>0.827860209</v>
      </c>
      <c r="D136" s="27">
        <f t="shared" si="2"/>
        <v>49.67161254</v>
      </c>
    </row>
    <row r="137">
      <c r="A137" s="24">
        <v>34.0</v>
      </c>
      <c r="B137" s="25">
        <v>137.812341445391</v>
      </c>
      <c r="C137" s="26">
        <f t="shared" si="1"/>
        <v>0.246712302</v>
      </c>
      <c r="D137" s="27">
        <f t="shared" si="2"/>
        <v>14.80273812</v>
      </c>
    </row>
    <row r="138">
      <c r="A138" s="24">
        <v>85.0</v>
      </c>
      <c r="B138" s="25">
        <v>76.3689716140283</v>
      </c>
      <c r="C138" s="26">
        <f t="shared" si="1"/>
        <v>1.113017476</v>
      </c>
      <c r="D138" s="27">
        <f t="shared" si="2"/>
        <v>66.78104854</v>
      </c>
    </row>
    <row r="139">
      <c r="A139" s="24">
        <v>41.0</v>
      </c>
      <c r="B139" s="25">
        <v>58.6618307750623</v>
      </c>
      <c r="C139" s="26">
        <f t="shared" si="1"/>
        <v>0.6989212484</v>
      </c>
      <c r="D139" s="27">
        <f t="shared" si="2"/>
        <v>41.93527491</v>
      </c>
    </row>
    <row r="140">
      <c r="A140" s="24">
        <v>19.0</v>
      </c>
      <c r="B140" s="25">
        <v>30.4209219415312</v>
      </c>
      <c r="C140" s="26">
        <f t="shared" si="1"/>
        <v>0.6245701572</v>
      </c>
      <c r="D140" s="27">
        <f t="shared" si="2"/>
        <v>37.47420943</v>
      </c>
    </row>
    <row r="141">
      <c r="A141" s="24">
        <v>99.0</v>
      </c>
      <c r="B141" s="25">
        <v>107.018632506879</v>
      </c>
      <c r="C141" s="26">
        <f t="shared" si="1"/>
        <v>0.9250725568</v>
      </c>
      <c r="D141" s="27">
        <f t="shared" si="2"/>
        <v>55.50435341</v>
      </c>
    </row>
    <row r="142">
      <c r="A142" s="24">
        <v>35.0</v>
      </c>
      <c r="B142" s="25">
        <v>43.2171054807482</v>
      </c>
      <c r="C142" s="26">
        <f t="shared" si="1"/>
        <v>0.8098645111</v>
      </c>
      <c r="D142" s="27">
        <f t="shared" si="2"/>
        <v>48.59187066</v>
      </c>
    </row>
    <row r="143">
      <c r="A143" s="24">
        <v>27.0</v>
      </c>
      <c r="B143" s="25">
        <v>30.5778832014832</v>
      </c>
      <c r="C143" s="26">
        <f t="shared" si="1"/>
        <v>0.8829911417</v>
      </c>
      <c r="D143" s="27">
        <f t="shared" si="2"/>
        <v>52.9794685</v>
      </c>
    </row>
    <row r="144">
      <c r="A144" s="24">
        <v>62.0</v>
      </c>
      <c r="B144" s="25">
        <v>91.341884236542</v>
      </c>
      <c r="C144" s="26">
        <f t="shared" si="1"/>
        <v>0.6787685684</v>
      </c>
      <c r="D144" s="27">
        <f t="shared" si="2"/>
        <v>40.72611411</v>
      </c>
    </row>
    <row r="145">
      <c r="A145" s="24">
        <v>110.0</v>
      </c>
      <c r="B145" s="25">
        <v>168.202429712827</v>
      </c>
      <c r="C145" s="26">
        <f t="shared" si="1"/>
        <v>0.6539739062</v>
      </c>
      <c r="D145" s="27">
        <f t="shared" si="2"/>
        <v>39.23843437</v>
      </c>
    </row>
    <row r="146">
      <c r="A146" s="24">
        <v>42.0</v>
      </c>
      <c r="B146" s="25">
        <v>44.8562202008053</v>
      </c>
      <c r="C146" s="26">
        <f t="shared" si="1"/>
        <v>0.9363249915</v>
      </c>
      <c r="D146" s="27">
        <f t="shared" si="2"/>
        <v>56.17949949</v>
      </c>
    </row>
    <row r="147">
      <c r="A147" s="24">
        <v>69.0</v>
      </c>
      <c r="B147" s="25">
        <v>76.7073687574398</v>
      </c>
      <c r="C147" s="26">
        <f t="shared" si="1"/>
        <v>0.8995224464</v>
      </c>
      <c r="D147" s="27">
        <f t="shared" si="2"/>
        <v>53.97134678</v>
      </c>
    </row>
    <row r="148">
      <c r="A148" s="24">
        <v>51.0</v>
      </c>
      <c r="B148" s="25">
        <v>82.8106857073585</v>
      </c>
      <c r="C148" s="26">
        <f t="shared" si="1"/>
        <v>0.6158625492</v>
      </c>
      <c r="D148" s="27">
        <f t="shared" si="2"/>
        <v>36.95175295</v>
      </c>
    </row>
    <row r="149">
      <c r="A149" s="24">
        <v>101.0</v>
      </c>
      <c r="B149" s="25">
        <v>113.070245698448</v>
      </c>
      <c r="C149" s="26">
        <f t="shared" si="1"/>
        <v>0.8932500268</v>
      </c>
      <c r="D149" s="27">
        <f t="shared" si="2"/>
        <v>53.59500161</v>
      </c>
    </row>
    <row r="150">
      <c r="A150" s="24">
        <v>113.0</v>
      </c>
      <c r="B150" s="25">
        <v>143.523553926557</v>
      </c>
      <c r="C150" s="26">
        <f t="shared" si="1"/>
        <v>0.787327215</v>
      </c>
      <c r="D150" s="27">
        <f t="shared" si="2"/>
        <v>47.2396329</v>
      </c>
    </row>
    <row r="151">
      <c r="A151" s="24">
        <v>34.0</v>
      </c>
      <c r="B151" s="25">
        <v>44.4545822116609</v>
      </c>
      <c r="C151" s="26">
        <f t="shared" si="1"/>
        <v>0.7648255435</v>
      </c>
      <c r="D151" s="27">
        <f t="shared" si="2"/>
        <v>45.88953261</v>
      </c>
    </row>
    <row r="152">
      <c r="A152" s="24">
        <v>49.0</v>
      </c>
      <c r="B152" s="25">
        <v>59.4530378349529</v>
      </c>
      <c r="C152" s="26">
        <f t="shared" si="1"/>
        <v>0.8241799206</v>
      </c>
      <c r="D152" s="27">
        <f t="shared" si="2"/>
        <v>49.45079523</v>
      </c>
    </row>
    <row r="153">
      <c r="A153" s="24">
        <v>47.0</v>
      </c>
      <c r="B153" s="25">
        <v>46.3587993348078</v>
      </c>
      <c r="C153" s="26">
        <f t="shared" si="1"/>
        <v>1.013831261</v>
      </c>
      <c r="D153" s="27">
        <f t="shared" si="2"/>
        <v>60.82987568</v>
      </c>
    </row>
    <row r="154">
      <c r="A154" s="24">
        <v>56.0</v>
      </c>
      <c r="B154" s="25">
        <v>49.2490876297406</v>
      </c>
      <c r="C154" s="26">
        <f t="shared" si="1"/>
        <v>1.137076902</v>
      </c>
      <c r="D154" s="27">
        <f t="shared" si="2"/>
        <v>68.22461413</v>
      </c>
    </row>
    <row r="155">
      <c r="A155" s="24">
        <v>120.0</v>
      </c>
      <c r="B155" s="25">
        <v>150.659131059016</v>
      </c>
      <c r="C155" s="26">
        <f t="shared" si="1"/>
        <v>0.796500014</v>
      </c>
      <c r="D155" s="27">
        <f t="shared" si="2"/>
        <v>47.79000084</v>
      </c>
    </row>
    <row r="156">
      <c r="A156" s="24">
        <v>30.0</v>
      </c>
      <c r="B156" s="25">
        <v>95.0481277492629</v>
      </c>
      <c r="C156" s="26">
        <f t="shared" si="1"/>
        <v>0.3156295733</v>
      </c>
      <c r="D156" s="27">
        <f t="shared" si="2"/>
        <v>18.9377744</v>
      </c>
    </row>
    <row r="157">
      <c r="A157" s="24">
        <v>95.0</v>
      </c>
      <c r="B157" s="25">
        <v>81.1663679172048</v>
      </c>
      <c r="C157" s="26">
        <f t="shared" si="1"/>
        <v>1.17043552</v>
      </c>
      <c r="D157" s="27">
        <f t="shared" si="2"/>
        <v>70.22613117</v>
      </c>
    </row>
    <row r="158">
      <c r="A158" s="24">
        <v>93.0</v>
      </c>
      <c r="B158" s="25">
        <v>112.171247018366</v>
      </c>
      <c r="C158" s="26">
        <f t="shared" si="1"/>
        <v>0.8290894723</v>
      </c>
      <c r="D158" s="27">
        <f t="shared" si="2"/>
        <v>49.74536834</v>
      </c>
    </row>
    <row r="159">
      <c r="A159" s="24">
        <v>68.0</v>
      </c>
      <c r="B159" s="25">
        <v>105.461752528877</v>
      </c>
      <c r="C159" s="26">
        <f t="shared" si="1"/>
        <v>0.6447835198</v>
      </c>
      <c r="D159" s="27">
        <f t="shared" si="2"/>
        <v>38.68701119</v>
      </c>
    </row>
    <row r="160">
      <c r="A160" s="24">
        <v>114.0</v>
      </c>
      <c r="B160" s="25">
        <v>139.883231917117</v>
      </c>
      <c r="C160" s="26">
        <f t="shared" si="1"/>
        <v>0.8149654425</v>
      </c>
      <c r="D160" s="27">
        <f t="shared" si="2"/>
        <v>48.89792655</v>
      </c>
    </row>
    <row r="161">
      <c r="A161" s="24">
        <v>92.0</v>
      </c>
      <c r="B161" s="25">
        <v>132.650600050624</v>
      </c>
      <c r="C161" s="26">
        <f t="shared" si="1"/>
        <v>0.6935513293</v>
      </c>
      <c r="D161" s="27">
        <f t="shared" si="2"/>
        <v>41.61307976</v>
      </c>
    </row>
    <row r="162">
      <c r="A162" s="24">
        <v>17.0</v>
      </c>
      <c r="B162" s="25">
        <v>18.7524759292164</v>
      </c>
      <c r="C162" s="26">
        <f t="shared" si="1"/>
        <v>0.9065469575</v>
      </c>
      <c r="D162" s="27">
        <f t="shared" si="2"/>
        <v>54.39281745</v>
      </c>
    </row>
    <row r="163">
      <c r="A163" s="24">
        <v>80.0</v>
      </c>
      <c r="B163" s="25">
        <v>116.465388627292</v>
      </c>
      <c r="C163" s="26">
        <f t="shared" si="1"/>
        <v>0.6868993522</v>
      </c>
      <c r="D163" s="27">
        <f t="shared" si="2"/>
        <v>41.21396113</v>
      </c>
    </row>
    <row r="164">
      <c r="A164" s="24">
        <v>92.0</v>
      </c>
      <c r="B164" s="25">
        <v>85.1736249949604</v>
      </c>
      <c r="C164" s="26">
        <f t="shared" si="1"/>
        <v>1.080146583</v>
      </c>
      <c r="D164" s="27">
        <f t="shared" si="2"/>
        <v>64.80879498</v>
      </c>
    </row>
    <row r="165">
      <c r="A165" s="24">
        <v>43.0</v>
      </c>
      <c r="B165" s="25">
        <v>59.9917329346695</v>
      </c>
      <c r="C165" s="26">
        <f t="shared" si="1"/>
        <v>0.7167654258</v>
      </c>
      <c r="D165" s="27">
        <f t="shared" si="2"/>
        <v>43.00592555</v>
      </c>
    </row>
    <row r="166">
      <c r="A166" s="24">
        <v>26.0</v>
      </c>
      <c r="B166" s="25">
        <v>34.3919332058591</v>
      </c>
      <c r="C166" s="26">
        <f t="shared" si="1"/>
        <v>0.7559912333</v>
      </c>
      <c r="D166" s="27">
        <f t="shared" si="2"/>
        <v>45.359474</v>
      </c>
    </row>
    <row r="167">
      <c r="A167" s="24">
        <v>73.0</v>
      </c>
      <c r="B167" s="25">
        <v>72.3409059289529</v>
      </c>
      <c r="C167" s="26">
        <f t="shared" si="1"/>
        <v>1.009110946</v>
      </c>
      <c r="D167" s="27">
        <f t="shared" si="2"/>
        <v>60.54665675</v>
      </c>
    </row>
    <row r="168">
      <c r="A168" s="24">
        <v>45.0</v>
      </c>
      <c r="B168" s="25">
        <v>67.2946510526417</v>
      </c>
      <c r="C168" s="26">
        <f t="shared" si="1"/>
        <v>0.6687009933</v>
      </c>
      <c r="D168" s="27">
        <f t="shared" si="2"/>
        <v>40.1220596</v>
      </c>
    </row>
    <row r="169">
      <c r="A169" s="24">
        <v>45.0</v>
      </c>
      <c r="B169" s="25">
        <v>52.2376447221239</v>
      </c>
      <c r="C169" s="26">
        <f t="shared" si="1"/>
        <v>0.8614477211</v>
      </c>
      <c r="D169" s="27">
        <f t="shared" si="2"/>
        <v>51.68686326</v>
      </c>
    </row>
    <row r="170">
      <c r="A170" s="24">
        <v>43.0</v>
      </c>
      <c r="B170" s="25">
        <v>80.1474295399317</v>
      </c>
      <c r="C170" s="26">
        <f t="shared" si="1"/>
        <v>0.5365112799</v>
      </c>
      <c r="D170" s="27">
        <f t="shared" si="2"/>
        <v>32.19067679</v>
      </c>
    </row>
    <row r="171">
      <c r="A171" s="24">
        <v>102.0</v>
      </c>
      <c r="B171" s="25">
        <v>279.037699658008</v>
      </c>
      <c r="C171" s="26">
        <f t="shared" si="1"/>
        <v>0.3655420043</v>
      </c>
      <c r="D171" s="27">
        <f t="shared" si="2"/>
        <v>21.93252026</v>
      </c>
    </row>
    <row r="172">
      <c r="A172" s="24">
        <v>11.0</v>
      </c>
      <c r="B172" s="25">
        <v>12.9614367658727</v>
      </c>
      <c r="C172" s="26">
        <f t="shared" si="1"/>
        <v>0.8486713471</v>
      </c>
      <c r="D172" s="27">
        <f t="shared" si="2"/>
        <v>50.92028082</v>
      </c>
    </row>
    <row r="173">
      <c r="A173" s="24">
        <v>40.0</v>
      </c>
      <c r="B173" s="25">
        <v>48.6436963085186</v>
      </c>
      <c r="C173" s="26">
        <f t="shared" si="1"/>
        <v>0.8223059314</v>
      </c>
      <c r="D173" s="27">
        <f t="shared" si="2"/>
        <v>49.33835588</v>
      </c>
    </row>
    <row r="174">
      <c r="A174" s="24">
        <v>117.0</v>
      </c>
      <c r="B174" s="25">
        <v>231.620813783711</v>
      </c>
      <c r="C174" s="26">
        <f t="shared" si="1"/>
        <v>0.5051359508</v>
      </c>
      <c r="D174" s="27">
        <f t="shared" si="2"/>
        <v>30.30815705</v>
      </c>
    </row>
    <row r="175">
      <c r="A175" s="24">
        <v>102.0</v>
      </c>
      <c r="B175" s="25">
        <v>336.150018263075</v>
      </c>
      <c r="C175" s="26">
        <f t="shared" si="1"/>
        <v>0.3034359496</v>
      </c>
      <c r="D175" s="27">
        <f t="shared" si="2"/>
        <v>18.20615698</v>
      </c>
    </row>
    <row r="176">
      <c r="A176" s="24">
        <v>47.0</v>
      </c>
      <c r="B176" s="25">
        <v>45.2517169351817</v>
      </c>
      <c r="C176" s="26">
        <f t="shared" si="1"/>
        <v>1.038634624</v>
      </c>
      <c r="D176" s="27">
        <f t="shared" si="2"/>
        <v>62.31807743</v>
      </c>
    </row>
    <row r="177">
      <c r="A177" s="24">
        <v>27.0</v>
      </c>
      <c r="B177" s="25">
        <v>21.3274437474396</v>
      </c>
      <c r="C177" s="26">
        <f t="shared" si="1"/>
        <v>1.265974503</v>
      </c>
      <c r="D177" s="27">
        <f t="shared" si="2"/>
        <v>75.95847018</v>
      </c>
    </row>
    <row r="178">
      <c r="A178" s="24">
        <v>88.0</v>
      </c>
      <c r="B178" s="25">
        <v>236.446390808865</v>
      </c>
      <c r="C178" s="26">
        <f t="shared" si="1"/>
        <v>0.3721773874</v>
      </c>
      <c r="D178" s="27">
        <f t="shared" si="2"/>
        <v>22.33064325</v>
      </c>
    </row>
    <row r="179">
      <c r="A179" s="24">
        <v>26.0</v>
      </c>
      <c r="B179" s="25">
        <v>50.024660419698</v>
      </c>
      <c r="C179" s="26">
        <f t="shared" si="1"/>
        <v>0.5197436581</v>
      </c>
      <c r="D179" s="27">
        <f t="shared" si="2"/>
        <v>31.18461948</v>
      </c>
    </row>
    <row r="180">
      <c r="A180" s="24">
        <v>58.0</v>
      </c>
      <c r="B180" s="25">
        <v>59.9564668346958</v>
      </c>
      <c r="C180" s="26">
        <f t="shared" si="1"/>
        <v>0.9673685436</v>
      </c>
      <c r="D180" s="27">
        <f t="shared" si="2"/>
        <v>58.04211261</v>
      </c>
    </row>
    <row r="181">
      <c r="A181" s="24">
        <v>76.0</v>
      </c>
      <c r="B181" s="25">
        <v>107.711979336527</v>
      </c>
      <c r="C181" s="26">
        <f t="shared" si="1"/>
        <v>0.7055853998</v>
      </c>
      <c r="D181" s="27">
        <f t="shared" si="2"/>
        <v>42.33512399</v>
      </c>
    </row>
    <row r="182">
      <c r="A182" s="24">
        <v>90.0</v>
      </c>
      <c r="B182" s="25">
        <v>101.80766147752</v>
      </c>
      <c r="C182" s="26">
        <f t="shared" si="1"/>
        <v>0.8840199126</v>
      </c>
      <c r="D182" s="27">
        <f t="shared" si="2"/>
        <v>53.04119476</v>
      </c>
    </row>
    <row r="183">
      <c r="A183" s="24">
        <v>29.0</v>
      </c>
      <c r="B183" s="25">
        <v>36.5656245052026</v>
      </c>
      <c r="C183" s="26">
        <f t="shared" si="1"/>
        <v>0.793094618</v>
      </c>
      <c r="D183" s="27">
        <f t="shared" si="2"/>
        <v>47.58567708</v>
      </c>
    </row>
    <row r="184">
      <c r="A184" s="24">
        <v>42.0</v>
      </c>
      <c r="B184" s="25">
        <v>63.6382423842511</v>
      </c>
      <c r="C184" s="26">
        <f t="shared" si="1"/>
        <v>0.6599805153</v>
      </c>
      <c r="D184" s="27">
        <f t="shared" si="2"/>
        <v>39.59883092</v>
      </c>
    </row>
    <row r="185">
      <c r="A185" s="24">
        <v>54.0</v>
      </c>
      <c r="B185" s="25">
        <v>61.1265913431389</v>
      </c>
      <c r="C185" s="26">
        <f t="shared" si="1"/>
        <v>0.8834125838</v>
      </c>
      <c r="D185" s="27">
        <f t="shared" si="2"/>
        <v>53.00475503</v>
      </c>
    </row>
    <row r="186">
      <c r="A186" s="24">
        <v>50.0</v>
      </c>
      <c r="B186" s="25">
        <v>100.687573499115</v>
      </c>
      <c r="C186" s="26">
        <f t="shared" si="1"/>
        <v>0.496585609</v>
      </c>
      <c r="D186" s="27">
        <f t="shared" si="2"/>
        <v>29.79513654</v>
      </c>
    </row>
    <row r="187">
      <c r="A187" s="24">
        <v>70.0</v>
      </c>
      <c r="B187" s="25">
        <v>102.827686952855</v>
      </c>
      <c r="C187" s="26">
        <f t="shared" si="1"/>
        <v>0.6807505067</v>
      </c>
      <c r="D187" s="27">
        <f t="shared" si="2"/>
        <v>40.8450304</v>
      </c>
    </row>
    <row r="188">
      <c r="A188" s="24">
        <v>46.0</v>
      </c>
      <c r="B188" s="25">
        <v>69.649773519526</v>
      </c>
      <c r="C188" s="26">
        <f t="shared" si="1"/>
        <v>0.6604472301</v>
      </c>
      <c r="D188" s="27">
        <f t="shared" si="2"/>
        <v>39.62683381</v>
      </c>
    </row>
    <row r="189">
      <c r="A189" s="24">
        <v>17.0</v>
      </c>
      <c r="B189" s="25">
        <v>33.0323002748507</v>
      </c>
      <c r="C189" s="26">
        <f t="shared" si="1"/>
        <v>0.5146477799</v>
      </c>
      <c r="D189" s="27">
        <f t="shared" si="2"/>
        <v>30.87886679</v>
      </c>
    </row>
    <row r="190">
      <c r="A190" s="24">
        <v>49.0</v>
      </c>
      <c r="B190" s="25">
        <v>72.2439659992833</v>
      </c>
      <c r="C190" s="26">
        <f t="shared" si="1"/>
        <v>0.6782573371</v>
      </c>
      <c r="D190" s="27">
        <f t="shared" si="2"/>
        <v>40.69544023</v>
      </c>
    </row>
    <row r="191">
      <c r="A191" s="24">
        <v>56.0</v>
      </c>
      <c r="B191" s="25">
        <v>50.087848452544</v>
      </c>
      <c r="C191" s="26">
        <f t="shared" si="1"/>
        <v>1.118035646</v>
      </c>
      <c r="D191" s="27">
        <f t="shared" si="2"/>
        <v>67.08213876</v>
      </c>
    </row>
    <row r="192">
      <c r="A192" s="24">
        <v>69.0</v>
      </c>
      <c r="B192" s="25">
        <v>95.4185625284991</v>
      </c>
      <c r="C192" s="26">
        <f t="shared" si="1"/>
        <v>0.7231297367</v>
      </c>
      <c r="D192" s="27">
        <f t="shared" si="2"/>
        <v>43.3877842</v>
      </c>
    </row>
    <row r="193">
      <c r="A193" s="24">
        <v>93.0</v>
      </c>
      <c r="B193" s="25">
        <v>144.665968763359</v>
      </c>
      <c r="C193" s="26">
        <f t="shared" si="1"/>
        <v>0.6428602442</v>
      </c>
      <c r="D193" s="27">
        <f t="shared" si="2"/>
        <v>38.57161465</v>
      </c>
    </row>
    <row r="194">
      <c r="A194" s="24">
        <v>64.0</v>
      </c>
      <c r="B194" s="25">
        <v>81.9237574736859</v>
      </c>
      <c r="C194" s="26">
        <f t="shared" si="1"/>
        <v>0.7812141676</v>
      </c>
      <c r="D194" s="27">
        <f t="shared" si="2"/>
        <v>46.87285005</v>
      </c>
    </row>
    <row r="195">
      <c r="A195" s="24">
        <v>33.0</v>
      </c>
      <c r="B195" s="25">
        <v>65.8734441142251</v>
      </c>
      <c r="C195" s="26">
        <f t="shared" si="1"/>
        <v>0.5009605987</v>
      </c>
      <c r="D195" s="27">
        <f t="shared" si="2"/>
        <v>30.05763592</v>
      </c>
    </row>
    <row r="196">
      <c r="A196" s="24">
        <v>98.0</v>
      </c>
      <c r="B196" s="25">
        <v>79.139059529028</v>
      </c>
      <c r="C196" s="26">
        <f t="shared" si="1"/>
        <v>1.238326568</v>
      </c>
      <c r="D196" s="27">
        <f t="shared" si="2"/>
        <v>74.29959409</v>
      </c>
    </row>
    <row r="197">
      <c r="A197" s="24">
        <v>59.0</v>
      </c>
      <c r="B197" s="25">
        <v>66.9086680954938</v>
      </c>
      <c r="C197" s="26">
        <f t="shared" si="1"/>
        <v>0.8817990505</v>
      </c>
      <c r="D197" s="27">
        <f t="shared" si="2"/>
        <v>52.90794303</v>
      </c>
    </row>
    <row r="198">
      <c r="A198" s="24">
        <v>112.0</v>
      </c>
      <c r="B198" s="25">
        <v>141.923649888035</v>
      </c>
      <c r="C198" s="26">
        <f t="shared" si="1"/>
        <v>0.7891567057</v>
      </c>
      <c r="D198" s="27">
        <f t="shared" si="2"/>
        <v>47.34940234</v>
      </c>
    </row>
    <row r="199">
      <c r="A199" s="24">
        <v>94.0</v>
      </c>
      <c r="B199" s="25">
        <v>156.247211886711</v>
      </c>
      <c r="C199" s="26">
        <f t="shared" si="1"/>
        <v>0.6016107351</v>
      </c>
      <c r="D199" s="27">
        <f t="shared" si="2"/>
        <v>36.09664411</v>
      </c>
    </row>
    <row r="200">
      <c r="A200" s="24">
        <v>52.0</v>
      </c>
      <c r="B200" s="25">
        <v>53.5908585243754</v>
      </c>
      <c r="C200" s="26">
        <f t="shared" si="1"/>
        <v>0.9703147408</v>
      </c>
      <c r="D200" s="27">
        <f t="shared" si="2"/>
        <v>58.21888445</v>
      </c>
    </row>
    <row r="201">
      <c r="A201" s="24">
        <v>39.0</v>
      </c>
      <c r="B201" s="25">
        <v>34.8082048588337</v>
      </c>
      <c r="C201" s="26">
        <f t="shared" si="1"/>
        <v>1.12042549</v>
      </c>
      <c r="D201" s="27">
        <f t="shared" si="2"/>
        <v>67.22552943</v>
      </c>
    </row>
    <row r="202">
      <c r="A202" s="24">
        <v>80.0</v>
      </c>
      <c r="B202" s="25">
        <v>125.860703346639</v>
      </c>
      <c r="C202" s="26">
        <f t="shared" si="1"/>
        <v>0.6356233349</v>
      </c>
      <c r="D202" s="27">
        <f t="shared" si="2"/>
        <v>38.1374001</v>
      </c>
    </row>
    <row r="203">
      <c r="A203" s="24">
        <v>53.0</v>
      </c>
      <c r="B203" s="25">
        <v>45.5911371714063</v>
      </c>
      <c r="C203" s="26">
        <f t="shared" si="1"/>
        <v>1.162506647</v>
      </c>
      <c r="D203" s="27">
        <f t="shared" si="2"/>
        <v>69.75039881</v>
      </c>
    </row>
    <row r="204">
      <c r="A204" s="24">
        <v>14.0</v>
      </c>
      <c r="B204" s="25">
        <v>13.9748285381081</v>
      </c>
      <c r="C204" s="26">
        <f t="shared" si="1"/>
        <v>1.0018012</v>
      </c>
      <c r="D204" s="27">
        <f t="shared" si="2"/>
        <v>60.108072</v>
      </c>
    </row>
    <row r="205">
      <c r="A205" s="24">
        <v>107.0</v>
      </c>
      <c r="B205" s="25">
        <v>121.639774893751</v>
      </c>
      <c r="C205" s="26">
        <f t="shared" si="1"/>
        <v>0.8796464815</v>
      </c>
      <c r="D205" s="27">
        <f t="shared" si="2"/>
        <v>52.77878889</v>
      </c>
    </row>
    <row r="206">
      <c r="A206" s="24">
        <v>16.0</v>
      </c>
      <c r="B206" s="25">
        <v>20.4578254536069</v>
      </c>
      <c r="C206" s="26">
        <f t="shared" si="1"/>
        <v>0.7820968087</v>
      </c>
      <c r="D206" s="27">
        <f t="shared" si="2"/>
        <v>46.92580852</v>
      </c>
    </row>
    <row r="207">
      <c r="A207" s="24">
        <v>35.0</v>
      </c>
      <c r="B207" s="25">
        <v>52.9262567827213</v>
      </c>
      <c r="C207" s="26">
        <f t="shared" si="1"/>
        <v>0.6612974755</v>
      </c>
      <c r="D207" s="27">
        <f t="shared" si="2"/>
        <v>39.67784853</v>
      </c>
    </row>
    <row r="208">
      <c r="A208" s="24">
        <v>113.0</v>
      </c>
      <c r="B208" s="25">
        <v>188.435770830282</v>
      </c>
      <c r="C208" s="26">
        <f t="shared" si="1"/>
        <v>0.5996738279</v>
      </c>
      <c r="D208" s="27">
        <f t="shared" si="2"/>
        <v>35.98042967</v>
      </c>
    </row>
    <row r="209">
      <c r="A209" s="24">
        <v>118.0</v>
      </c>
      <c r="B209" s="25">
        <v>140.958423939231</v>
      </c>
      <c r="C209" s="26">
        <f t="shared" si="1"/>
        <v>0.8371262724</v>
      </c>
      <c r="D209" s="27">
        <f t="shared" si="2"/>
        <v>50.22757635</v>
      </c>
    </row>
    <row r="210">
      <c r="A210" s="24">
        <v>25.0</v>
      </c>
      <c r="B210" s="25">
        <v>24.1376190052782</v>
      </c>
      <c r="C210" s="26">
        <f t="shared" si="1"/>
        <v>1.035727674</v>
      </c>
      <c r="D210" s="27">
        <f t="shared" si="2"/>
        <v>62.14366047</v>
      </c>
    </row>
    <row r="211">
      <c r="A211" s="24">
        <v>10.0</v>
      </c>
      <c r="B211" s="25">
        <v>8.76805111463094</v>
      </c>
      <c r="C211" s="26">
        <f t="shared" si="1"/>
        <v>1.1405043</v>
      </c>
      <c r="D211" s="27">
        <f t="shared" si="2"/>
        <v>68.43025801</v>
      </c>
    </row>
    <row r="212">
      <c r="A212" s="24">
        <v>54.0</v>
      </c>
      <c r="B212" s="25">
        <v>63.3408181199163</v>
      </c>
      <c r="C212" s="26">
        <f t="shared" si="1"/>
        <v>0.8525308261</v>
      </c>
      <c r="D212" s="27">
        <f t="shared" si="2"/>
        <v>51.15184957</v>
      </c>
    </row>
    <row r="213">
      <c r="A213" s="24">
        <v>56.0</v>
      </c>
      <c r="B213" s="25">
        <v>98.3633504789673</v>
      </c>
      <c r="C213" s="26">
        <f t="shared" si="1"/>
        <v>0.569317736</v>
      </c>
      <c r="D213" s="27">
        <f t="shared" si="2"/>
        <v>34.15906416</v>
      </c>
    </row>
    <row r="214">
      <c r="A214" s="24">
        <v>34.0</v>
      </c>
      <c r="B214" s="25">
        <v>36.9107708150378</v>
      </c>
      <c r="C214" s="26">
        <f t="shared" si="1"/>
        <v>0.9211403406</v>
      </c>
      <c r="D214" s="27">
        <f t="shared" si="2"/>
        <v>55.26842044</v>
      </c>
    </row>
    <row r="215">
      <c r="A215" s="24">
        <v>61.0</v>
      </c>
      <c r="B215" s="25">
        <v>83.457219054016</v>
      </c>
      <c r="C215" s="26">
        <f t="shared" si="1"/>
        <v>0.7309134032</v>
      </c>
      <c r="D215" s="27">
        <f t="shared" si="2"/>
        <v>43.85480419</v>
      </c>
    </row>
    <row r="216">
      <c r="A216" s="24">
        <v>84.0</v>
      </c>
      <c r="B216" s="25">
        <v>90.8037931660398</v>
      </c>
      <c r="C216" s="26">
        <f t="shared" si="1"/>
        <v>0.9250714873</v>
      </c>
      <c r="D216" s="27">
        <f t="shared" si="2"/>
        <v>55.50428924</v>
      </c>
    </row>
    <row r="217">
      <c r="A217" s="24">
        <v>112.0</v>
      </c>
      <c r="B217" s="25">
        <v>121.126367425817</v>
      </c>
      <c r="C217" s="26">
        <f t="shared" si="1"/>
        <v>0.9246541639</v>
      </c>
      <c r="D217" s="27">
        <f t="shared" si="2"/>
        <v>55.47924983</v>
      </c>
    </row>
    <row r="218">
      <c r="A218" s="24">
        <v>44.0</v>
      </c>
      <c r="B218" s="25">
        <v>42.9100643598967</v>
      </c>
      <c r="C218" s="26">
        <f t="shared" si="1"/>
        <v>1.025400466</v>
      </c>
      <c r="D218" s="27">
        <f t="shared" si="2"/>
        <v>61.52402797</v>
      </c>
    </row>
    <row r="219">
      <c r="A219" s="24">
        <v>11.0</v>
      </c>
      <c r="B219" s="25">
        <v>16.4966375004887</v>
      </c>
      <c r="C219" s="26">
        <f t="shared" si="1"/>
        <v>0.6668025529</v>
      </c>
      <c r="D219" s="27">
        <f t="shared" si="2"/>
        <v>40.00815318</v>
      </c>
    </row>
    <row r="220">
      <c r="A220" s="24">
        <v>69.0</v>
      </c>
      <c r="B220" s="25">
        <v>141.661079988083</v>
      </c>
      <c r="C220" s="26">
        <f t="shared" si="1"/>
        <v>0.4870780316</v>
      </c>
      <c r="D220" s="27">
        <f t="shared" si="2"/>
        <v>29.2246819</v>
      </c>
    </row>
    <row r="221">
      <c r="A221" s="24">
        <v>120.0</v>
      </c>
      <c r="B221" s="25">
        <v>128.109732252161</v>
      </c>
      <c r="C221" s="26">
        <f t="shared" si="1"/>
        <v>0.9366969854</v>
      </c>
      <c r="D221" s="27">
        <f t="shared" si="2"/>
        <v>56.20181912</v>
      </c>
    </row>
    <row r="222">
      <c r="A222" s="24">
        <v>23.0</v>
      </c>
      <c r="B222" s="25">
        <v>24.4265236367885</v>
      </c>
      <c r="C222" s="26">
        <f t="shared" si="1"/>
        <v>0.9415994</v>
      </c>
      <c r="D222" s="27">
        <f t="shared" si="2"/>
        <v>56.495964</v>
      </c>
    </row>
    <row r="223">
      <c r="A223" s="24">
        <v>51.0</v>
      </c>
      <c r="B223" s="25">
        <v>48.8532168505476</v>
      </c>
      <c r="C223" s="26">
        <f t="shared" si="1"/>
        <v>1.043943537</v>
      </c>
      <c r="D223" s="27">
        <f t="shared" si="2"/>
        <v>62.63661223</v>
      </c>
    </row>
    <row r="224">
      <c r="A224" s="24">
        <v>110.0</v>
      </c>
      <c r="B224" s="25">
        <v>142.361482834218</v>
      </c>
      <c r="C224" s="26">
        <f t="shared" si="1"/>
        <v>0.7726809093</v>
      </c>
      <c r="D224" s="27">
        <f t="shared" si="2"/>
        <v>46.36085456</v>
      </c>
    </row>
    <row r="225">
      <c r="A225" s="24">
        <v>66.0</v>
      </c>
      <c r="B225" s="25">
        <v>63.8611179867499</v>
      </c>
      <c r="C225" s="26">
        <f t="shared" si="1"/>
        <v>1.033492712</v>
      </c>
      <c r="D225" s="27">
        <f t="shared" si="2"/>
        <v>62.0095627</v>
      </c>
    </row>
    <row r="226">
      <c r="A226" s="24">
        <v>57.0</v>
      </c>
      <c r="B226" s="25">
        <v>54.2656537623036</v>
      </c>
      <c r="C226" s="26">
        <f t="shared" si="1"/>
        <v>1.050388156</v>
      </c>
      <c r="D226" s="27">
        <f t="shared" si="2"/>
        <v>63.02328937</v>
      </c>
    </row>
    <row r="227">
      <c r="A227" s="24">
        <v>78.0</v>
      </c>
      <c r="B227" s="25">
        <v>78.0028205128652</v>
      </c>
      <c r="C227" s="26">
        <f t="shared" si="1"/>
        <v>0.9999638409</v>
      </c>
      <c r="D227" s="27">
        <f t="shared" si="2"/>
        <v>59.99783045</v>
      </c>
    </row>
    <row r="228">
      <c r="A228" s="24">
        <v>70.0</v>
      </c>
      <c r="B228" s="25">
        <v>122.303916911717</v>
      </c>
      <c r="C228" s="26">
        <f t="shared" si="1"/>
        <v>0.5723447112</v>
      </c>
      <c r="D228" s="27">
        <f t="shared" si="2"/>
        <v>34.34068267</v>
      </c>
    </row>
    <row r="229">
      <c r="A229" s="24">
        <v>59.0</v>
      </c>
      <c r="B229" s="25">
        <v>63.1479965041193</v>
      </c>
      <c r="C229" s="26">
        <f t="shared" si="1"/>
        <v>0.9343130941</v>
      </c>
      <c r="D229" s="27">
        <f t="shared" si="2"/>
        <v>56.05878565</v>
      </c>
    </row>
    <row r="230">
      <c r="A230" s="24">
        <v>93.0</v>
      </c>
      <c r="B230" s="25">
        <v>138.181923325158</v>
      </c>
      <c r="C230" s="26">
        <f t="shared" si="1"/>
        <v>0.6730258037</v>
      </c>
      <c r="D230" s="27">
        <f t="shared" si="2"/>
        <v>40.38154822</v>
      </c>
    </row>
    <row r="231">
      <c r="A231" s="24">
        <v>78.0</v>
      </c>
      <c r="B231" s="25">
        <v>202.235101306652</v>
      </c>
      <c r="C231" s="26">
        <f t="shared" si="1"/>
        <v>0.385689722</v>
      </c>
      <c r="D231" s="27">
        <f t="shared" si="2"/>
        <v>23.14138332</v>
      </c>
    </row>
    <row r="232">
      <c r="A232" s="24">
        <v>72.0</v>
      </c>
      <c r="B232" s="25">
        <v>85.3052161341841</v>
      </c>
      <c r="C232" s="26">
        <f t="shared" si="1"/>
        <v>0.8440281059</v>
      </c>
      <c r="D232" s="27">
        <f t="shared" si="2"/>
        <v>50.64168636</v>
      </c>
    </row>
    <row r="233">
      <c r="A233" s="24">
        <v>45.0</v>
      </c>
      <c r="B233" s="25">
        <v>54.3875571616737</v>
      </c>
      <c r="C233" s="26">
        <f t="shared" si="1"/>
        <v>0.8273951313</v>
      </c>
      <c r="D233" s="27">
        <f t="shared" si="2"/>
        <v>49.64370788</v>
      </c>
    </row>
    <row r="234">
      <c r="A234" s="24">
        <v>68.0</v>
      </c>
      <c r="B234" s="25">
        <v>123.592007626281</v>
      </c>
      <c r="C234" s="26">
        <f t="shared" si="1"/>
        <v>0.5501973898</v>
      </c>
      <c r="D234" s="27">
        <f t="shared" si="2"/>
        <v>33.01184339</v>
      </c>
    </row>
    <row r="235">
      <c r="A235" s="24">
        <v>113.0</v>
      </c>
      <c r="B235" s="25">
        <v>136.080748002835</v>
      </c>
      <c r="C235" s="26">
        <f t="shared" si="1"/>
        <v>0.8303893215</v>
      </c>
      <c r="D235" s="27">
        <f t="shared" si="2"/>
        <v>49.82335929</v>
      </c>
    </row>
    <row r="236">
      <c r="A236" s="24">
        <v>114.0</v>
      </c>
      <c r="B236" s="25">
        <v>135.576197677745</v>
      </c>
      <c r="C236" s="26">
        <f t="shared" si="1"/>
        <v>0.8408555628</v>
      </c>
      <c r="D236" s="27">
        <f t="shared" si="2"/>
        <v>50.45133377</v>
      </c>
    </row>
    <row r="237">
      <c r="A237" s="24">
        <v>33.0</v>
      </c>
      <c r="B237" s="25">
        <v>75.680050853133</v>
      </c>
      <c r="C237" s="26">
        <f t="shared" si="1"/>
        <v>0.4360462186</v>
      </c>
      <c r="D237" s="27">
        <f t="shared" si="2"/>
        <v>26.16277312</v>
      </c>
    </row>
    <row r="238">
      <c r="A238" s="24">
        <v>110.0</v>
      </c>
      <c r="B238" s="25">
        <v>119.597083471468</v>
      </c>
      <c r="C238" s="26">
        <f t="shared" si="1"/>
        <v>0.9197548703</v>
      </c>
      <c r="D238" s="27">
        <f t="shared" si="2"/>
        <v>55.18529222</v>
      </c>
    </row>
    <row r="239">
      <c r="A239" s="24">
        <v>101.0</v>
      </c>
      <c r="B239" s="25">
        <v>143.434470901043</v>
      </c>
      <c r="C239" s="26">
        <f t="shared" si="1"/>
        <v>0.7041543038</v>
      </c>
      <c r="D239" s="27">
        <f t="shared" si="2"/>
        <v>42.24925823</v>
      </c>
    </row>
    <row r="240">
      <c r="A240" s="24">
        <v>88.0</v>
      </c>
      <c r="B240" s="25">
        <v>97.3524701210859</v>
      </c>
      <c r="C240" s="26">
        <f t="shared" si="1"/>
        <v>0.9039318662</v>
      </c>
      <c r="D240" s="27">
        <f t="shared" si="2"/>
        <v>54.23591197</v>
      </c>
    </row>
    <row r="241">
      <c r="A241" s="24">
        <v>92.0</v>
      </c>
      <c r="B241" s="25">
        <v>144.668239713674</v>
      </c>
      <c r="C241" s="26">
        <f t="shared" si="1"/>
        <v>0.6359377855</v>
      </c>
      <c r="D241" s="27">
        <f t="shared" si="2"/>
        <v>38.15626713</v>
      </c>
    </row>
    <row r="242">
      <c r="A242" s="24">
        <v>83.0</v>
      </c>
      <c r="B242" s="25">
        <v>134.270562743913</v>
      </c>
      <c r="C242" s="26">
        <f t="shared" si="1"/>
        <v>0.6181548532</v>
      </c>
      <c r="D242" s="27">
        <f t="shared" si="2"/>
        <v>37.08929119</v>
      </c>
    </row>
    <row r="243">
      <c r="A243" s="24">
        <v>87.0</v>
      </c>
      <c r="B243" s="25">
        <v>95.5640049056109</v>
      </c>
      <c r="C243" s="26">
        <f t="shared" si="1"/>
        <v>0.9103846169</v>
      </c>
      <c r="D243" s="27">
        <f t="shared" si="2"/>
        <v>54.62307702</v>
      </c>
    </row>
    <row r="244">
      <c r="A244" s="24">
        <v>99.0</v>
      </c>
      <c r="B244" s="25">
        <v>167.519588400338</v>
      </c>
      <c r="C244" s="26">
        <f t="shared" si="1"/>
        <v>0.5909756641</v>
      </c>
      <c r="D244" s="27">
        <f t="shared" si="2"/>
        <v>35.45853984</v>
      </c>
    </row>
    <row r="245">
      <c r="A245" s="24">
        <v>105.0</v>
      </c>
      <c r="B245" s="25">
        <v>129.322878081048</v>
      </c>
      <c r="C245" s="26">
        <f t="shared" si="1"/>
        <v>0.8119213055</v>
      </c>
      <c r="D245" s="27">
        <f t="shared" si="2"/>
        <v>48.71527833</v>
      </c>
    </row>
    <row r="246">
      <c r="A246" s="24">
        <v>35.0</v>
      </c>
      <c r="B246" s="25">
        <v>44.6990139593274</v>
      </c>
      <c r="C246" s="26">
        <f t="shared" si="1"/>
        <v>0.7830150355</v>
      </c>
      <c r="D246" s="27">
        <f t="shared" si="2"/>
        <v>46.98090213</v>
      </c>
    </row>
    <row r="247">
      <c r="A247" s="24">
        <v>15.0</v>
      </c>
      <c r="B247" s="25">
        <v>16.576788662325</v>
      </c>
      <c r="C247" s="26">
        <f t="shared" si="1"/>
        <v>0.904879727</v>
      </c>
      <c r="D247" s="27">
        <f t="shared" si="2"/>
        <v>54.29278362</v>
      </c>
    </row>
    <row r="248">
      <c r="A248" s="24">
        <v>109.0</v>
      </c>
      <c r="B248" s="25">
        <v>101.81875954994</v>
      </c>
      <c r="C248" s="26">
        <f t="shared" si="1"/>
        <v>1.07052964</v>
      </c>
      <c r="D248" s="27">
        <f t="shared" si="2"/>
        <v>64.2317784</v>
      </c>
    </row>
    <row r="249">
      <c r="A249" s="24">
        <v>33.0</v>
      </c>
      <c r="B249" s="25">
        <v>29.4896846928497</v>
      </c>
      <c r="C249" s="26">
        <f t="shared" si="1"/>
        <v>1.119035362</v>
      </c>
      <c r="D249" s="27">
        <f t="shared" si="2"/>
        <v>67.14212175</v>
      </c>
    </row>
    <row r="250">
      <c r="A250" s="24">
        <v>17.0</v>
      </c>
      <c r="B250" s="25">
        <v>29.3450666226424</v>
      </c>
      <c r="C250" s="26">
        <f t="shared" si="1"/>
        <v>0.5793137299</v>
      </c>
      <c r="D250" s="27">
        <f t="shared" si="2"/>
        <v>34.7588238</v>
      </c>
    </row>
    <row r="251">
      <c r="A251" s="24">
        <v>14.0</v>
      </c>
      <c r="B251" s="25">
        <v>18.4480186088813</v>
      </c>
      <c r="C251" s="26">
        <f t="shared" si="1"/>
        <v>0.7588890871</v>
      </c>
      <c r="D251" s="27">
        <f t="shared" si="2"/>
        <v>45.53334522</v>
      </c>
    </row>
    <row r="252">
      <c r="D252" s="27"/>
    </row>
    <row r="253">
      <c r="D253" s="27"/>
    </row>
    <row r="254">
      <c r="D254" s="27"/>
    </row>
    <row r="255">
      <c r="D255" s="27"/>
    </row>
    <row r="256">
      <c r="D256" s="27"/>
    </row>
    <row r="257">
      <c r="D257" s="27"/>
    </row>
    <row r="258">
      <c r="D258" s="27"/>
    </row>
    <row r="259">
      <c r="D259" s="27"/>
    </row>
    <row r="260">
      <c r="D260" s="27"/>
    </row>
    <row r="261">
      <c r="D261" s="27"/>
    </row>
    <row r="262">
      <c r="D262" s="27"/>
    </row>
    <row r="263">
      <c r="D263" s="27"/>
    </row>
    <row r="264">
      <c r="D264" s="27"/>
    </row>
    <row r="265">
      <c r="D265" s="27"/>
    </row>
    <row r="266">
      <c r="D266" s="27"/>
    </row>
    <row r="267">
      <c r="D267" s="27"/>
    </row>
    <row r="268">
      <c r="D268" s="27"/>
    </row>
    <row r="269">
      <c r="D269" s="27"/>
    </row>
    <row r="270">
      <c r="D270" s="27"/>
    </row>
    <row r="271">
      <c r="D271" s="27"/>
    </row>
    <row r="272">
      <c r="D272" s="27"/>
    </row>
    <row r="273">
      <c r="D273" s="27"/>
    </row>
    <row r="274">
      <c r="D274" s="27"/>
    </row>
    <row r="275">
      <c r="D275" s="27"/>
    </row>
    <row r="276">
      <c r="D276" s="27"/>
    </row>
    <row r="277">
      <c r="D277" s="27"/>
    </row>
    <row r="278">
      <c r="D278" s="27"/>
    </row>
    <row r="279">
      <c r="D279" s="27"/>
    </row>
    <row r="280">
      <c r="D280" s="27"/>
    </row>
    <row r="281">
      <c r="D281" s="27"/>
    </row>
    <row r="282">
      <c r="D282" s="27"/>
    </row>
    <row r="283">
      <c r="D283" s="27"/>
    </row>
    <row r="284">
      <c r="D284" s="27"/>
    </row>
    <row r="285">
      <c r="D285" s="27"/>
    </row>
    <row r="286">
      <c r="D286" s="27"/>
    </row>
    <row r="287">
      <c r="D287" s="27"/>
    </row>
    <row r="288">
      <c r="D288" s="27"/>
    </row>
    <row r="289">
      <c r="D289" s="27"/>
    </row>
    <row r="290">
      <c r="D290" s="27"/>
    </row>
    <row r="291">
      <c r="D291" s="27"/>
    </row>
    <row r="292">
      <c r="D292" s="27"/>
    </row>
    <row r="293">
      <c r="D293" s="27"/>
    </row>
    <row r="294">
      <c r="D294" s="27"/>
    </row>
    <row r="295">
      <c r="D295" s="27"/>
    </row>
    <row r="296">
      <c r="D296" s="27"/>
    </row>
    <row r="297">
      <c r="D297" s="27"/>
    </row>
    <row r="298">
      <c r="D298" s="27"/>
    </row>
    <row r="299">
      <c r="D299" s="27"/>
    </row>
    <row r="300">
      <c r="D300" s="27"/>
    </row>
    <row r="301">
      <c r="D301" s="27"/>
    </row>
    <row r="302">
      <c r="D302" s="27"/>
    </row>
    <row r="303">
      <c r="D303" s="27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>
        <v>1.0</v>
      </c>
      <c r="B1" s="2">
        <v>2.0</v>
      </c>
      <c r="C1" s="2" t="s">
        <v>1</v>
      </c>
      <c r="D1" s="2" t="s">
        <v>2</v>
      </c>
    </row>
    <row r="2">
      <c r="A2" s="2">
        <v>2.0</v>
      </c>
      <c r="B2" s="2">
        <v>8.0</v>
      </c>
    </row>
    <row r="3">
      <c r="A3" s="2">
        <v>3.0</v>
      </c>
      <c r="B3" s="2">
        <v>12.0</v>
      </c>
    </row>
    <row r="4">
      <c r="A4" s="2">
        <v>4.0</v>
      </c>
      <c r="B4" s="2">
        <v>25.0</v>
      </c>
      <c r="C4" s="2" t="s">
        <v>4</v>
      </c>
    </row>
    <row r="5">
      <c r="A5" s="2">
        <v>5.0</v>
      </c>
      <c r="B5" s="2">
        <v>31.0</v>
      </c>
    </row>
    <row r="6">
      <c r="A6" s="2">
        <v>6.0</v>
      </c>
      <c r="B6" s="2">
        <v>31.0</v>
      </c>
    </row>
    <row r="7">
      <c r="A7" s="2">
        <v>7.0</v>
      </c>
      <c r="B7" s="2">
        <v>41.0</v>
      </c>
    </row>
    <row r="8">
      <c r="A8" s="2">
        <v>8.0</v>
      </c>
      <c r="B8" s="2">
        <v>46.0</v>
      </c>
      <c r="C8" s="2" t="s">
        <v>5</v>
      </c>
      <c r="D8" s="2" t="s">
        <v>6</v>
      </c>
    </row>
    <row r="9">
      <c r="A9" s="2">
        <v>9.0</v>
      </c>
      <c r="B9" s="2">
        <v>49.0</v>
      </c>
    </row>
    <row r="10">
      <c r="A10" s="2">
        <v>10.0</v>
      </c>
      <c r="B10" s="2">
        <v>56.0</v>
      </c>
    </row>
    <row r="11">
      <c r="A11" s="2">
        <v>11.0</v>
      </c>
      <c r="B11" s="2">
        <v>63.0</v>
      </c>
    </row>
    <row r="12">
      <c r="A12" s="2">
        <v>12.0</v>
      </c>
      <c r="B12" s="2">
        <v>70.0</v>
      </c>
      <c r="C12" s="2" t="s">
        <v>7</v>
      </c>
    </row>
    <row r="13">
      <c r="A13" s="2">
        <v>13.0</v>
      </c>
      <c r="B13" s="2">
        <v>71.0</v>
      </c>
    </row>
    <row r="14">
      <c r="A14" s="2">
        <v>14.0</v>
      </c>
      <c r="B14" s="2">
        <v>84.0</v>
      </c>
    </row>
    <row r="15">
      <c r="A15" s="2">
        <v>15.0</v>
      </c>
      <c r="B15" s="2">
        <v>95.0</v>
      </c>
      <c r="C15" s="2" t="s">
        <v>9</v>
      </c>
      <c r="D15" s="2" t="s">
        <v>10</v>
      </c>
    </row>
    <row r="17">
      <c r="A17" s="2" t="s">
        <v>2</v>
      </c>
      <c r="B17" s="2">
        <v>2.0</v>
      </c>
    </row>
    <row r="18">
      <c r="A18" s="2" t="s">
        <v>4</v>
      </c>
      <c r="B18" s="2">
        <v>25.0</v>
      </c>
    </row>
    <row r="19">
      <c r="A19" s="2" t="s">
        <v>5</v>
      </c>
      <c r="B19" s="2">
        <v>46.0</v>
      </c>
    </row>
    <row r="20">
      <c r="A20" s="2" t="s">
        <v>7</v>
      </c>
      <c r="B20" s="2">
        <v>70.0</v>
      </c>
    </row>
    <row r="21">
      <c r="A21" s="2" t="s">
        <v>10</v>
      </c>
      <c r="B21" s="2">
        <v>95.0</v>
      </c>
    </row>
    <row r="22">
      <c r="A22" s="2" t="s">
        <v>11</v>
      </c>
      <c r="B22" s="7">
        <f>SUM(B1:B15)/15</f>
        <v>45.6</v>
      </c>
    </row>
    <row r="23">
      <c r="A23" s="2" t="s">
        <v>13</v>
      </c>
      <c r="B23" s="2">
        <v>31.0</v>
      </c>
    </row>
    <row r="24">
      <c r="A24" s="2" t="s">
        <v>14</v>
      </c>
      <c r="B24" s="7">
        <f>VAR(B1:B15)</f>
        <v>778.1142857</v>
      </c>
    </row>
    <row r="25">
      <c r="A25" s="2" t="s">
        <v>15</v>
      </c>
      <c r="B25" s="7">
        <f>STDEV(B1:B15)</f>
        <v>27.89469996</v>
      </c>
      <c r="C25" s="7">
        <f>SQRT(B24)</f>
        <v>27.89469996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0.29"/>
    <col customWidth="1" min="7" max="7" width="16.29"/>
  </cols>
  <sheetData>
    <row r="1">
      <c r="A1" s="1"/>
      <c r="B1" s="3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 t="s">
        <v>3</v>
      </c>
      <c r="B3" s="4">
        <v>41286.0</v>
      </c>
      <c r="C3" s="4">
        <v>41640.0</v>
      </c>
      <c r="D3" s="4">
        <v>41641.0</v>
      </c>
      <c r="E3" s="4">
        <v>41642.0</v>
      </c>
      <c r="F3" s="4">
        <v>41643.0</v>
      </c>
      <c r="G3" s="4">
        <v>41644.0</v>
      </c>
      <c r="H3" s="4">
        <v>41645.0</v>
      </c>
      <c r="I3" s="4">
        <v>41646.0</v>
      </c>
      <c r="J3" s="4">
        <v>41647.0</v>
      </c>
      <c r="K3" s="4">
        <v>41648.0</v>
      </c>
      <c r="L3" s="4">
        <v>41649.0</v>
      </c>
      <c r="M3" s="4">
        <v>41650.0</v>
      </c>
      <c r="N3" s="4">
        <v>41651.0</v>
      </c>
    </row>
    <row r="4">
      <c r="A4" s="1" t="s">
        <v>8</v>
      </c>
      <c r="B4" s="5">
        <v>11729.0</v>
      </c>
      <c r="C4" s="5">
        <v>12315.45</v>
      </c>
      <c r="D4" s="5">
        <v>13670.1495</v>
      </c>
      <c r="E4" s="5">
        <v>15310.56744</v>
      </c>
      <c r="F4" s="5">
        <v>17300.9412072</v>
      </c>
      <c r="G4" s="5">
        <v>19723.072976208</v>
      </c>
      <c r="H4" s="5">
        <v>21695.3802738288</v>
      </c>
      <c r="I4" s="5">
        <v>25600.548723118</v>
      </c>
      <c r="J4" s="5">
        <v>27136.5816465051</v>
      </c>
      <c r="K4" s="5">
        <v>29578.8739946905</v>
      </c>
      <c r="L4" s="5">
        <v>33719.9163539472</v>
      </c>
      <c r="M4" s="5">
        <v>39452.3021341182</v>
      </c>
      <c r="N4" s="6">
        <v>43003.0093261889</v>
      </c>
    </row>
    <row r="5">
      <c r="A5" s="1" t="s">
        <v>12</v>
      </c>
      <c r="B5" s="1"/>
      <c r="C5" s="8">
        <f t="shared" ref="C5:N5" si="1">(C4-B4)/B4</f>
        <v>0.05</v>
      </c>
      <c r="D5" s="8">
        <f t="shared" si="1"/>
        <v>0.11</v>
      </c>
      <c r="E5" s="8">
        <f t="shared" si="1"/>
        <v>0.12</v>
      </c>
      <c r="F5" s="8">
        <f t="shared" si="1"/>
        <v>0.13</v>
      </c>
      <c r="G5" s="8">
        <f t="shared" si="1"/>
        <v>0.14</v>
      </c>
      <c r="H5" s="8">
        <f t="shared" si="1"/>
        <v>0.1</v>
      </c>
      <c r="I5" s="8">
        <f t="shared" si="1"/>
        <v>0.18</v>
      </c>
      <c r="J5" s="8">
        <f t="shared" si="1"/>
        <v>0.06</v>
      </c>
      <c r="K5" s="8">
        <f t="shared" si="1"/>
        <v>0.09</v>
      </c>
      <c r="L5" s="8">
        <f t="shared" si="1"/>
        <v>0.14</v>
      </c>
      <c r="M5" s="8">
        <f t="shared" si="1"/>
        <v>0.17</v>
      </c>
      <c r="N5" s="8">
        <f t="shared" si="1"/>
        <v>0.09</v>
      </c>
    </row>
    <row r="6">
      <c r="A6" s="1"/>
      <c r="B6" s="1"/>
      <c r="C6" s="8">
        <f t="shared" ref="C6:N6" si="2">C5+1</f>
        <v>1.05</v>
      </c>
      <c r="D6" s="8">
        <f t="shared" si="2"/>
        <v>1.11</v>
      </c>
      <c r="E6" s="8">
        <f t="shared" si="2"/>
        <v>1.12</v>
      </c>
      <c r="F6" s="8">
        <f t="shared" si="2"/>
        <v>1.13</v>
      </c>
      <c r="G6" s="8">
        <f t="shared" si="2"/>
        <v>1.14</v>
      </c>
      <c r="H6" s="8">
        <f t="shared" si="2"/>
        <v>1.1</v>
      </c>
      <c r="I6" s="8">
        <f t="shared" si="2"/>
        <v>1.18</v>
      </c>
      <c r="J6" s="8">
        <f t="shared" si="2"/>
        <v>1.06</v>
      </c>
      <c r="K6" s="8">
        <f t="shared" si="2"/>
        <v>1.09</v>
      </c>
      <c r="L6" s="8">
        <f t="shared" si="2"/>
        <v>1.14</v>
      </c>
      <c r="M6" s="8">
        <f t="shared" si="2"/>
        <v>1.17</v>
      </c>
      <c r="N6" s="8">
        <f t="shared" si="2"/>
        <v>1.09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>
      <c r="A8" s="1" t="s">
        <v>16</v>
      </c>
      <c r="B8" s="1"/>
      <c r="C8" s="9">
        <f t="shared" ref="C8:N8" si="3">$G$16</f>
        <v>0.1143453928</v>
      </c>
      <c r="D8" s="9">
        <f t="shared" si="3"/>
        <v>0.1143453928</v>
      </c>
      <c r="E8" s="9">
        <f t="shared" si="3"/>
        <v>0.1143453928</v>
      </c>
      <c r="F8" s="9">
        <f t="shared" si="3"/>
        <v>0.1143453928</v>
      </c>
      <c r="G8" s="9">
        <f t="shared" si="3"/>
        <v>0.1143453928</v>
      </c>
      <c r="H8" s="9">
        <f t="shared" si="3"/>
        <v>0.1143453928</v>
      </c>
      <c r="I8" s="9">
        <f t="shared" si="3"/>
        <v>0.1143453928</v>
      </c>
      <c r="J8" s="9">
        <f t="shared" si="3"/>
        <v>0.1143453928</v>
      </c>
      <c r="K8" s="9">
        <f t="shared" si="3"/>
        <v>0.1143453928</v>
      </c>
      <c r="L8" s="9">
        <f t="shared" si="3"/>
        <v>0.1143453928</v>
      </c>
      <c r="M8" s="9">
        <f t="shared" si="3"/>
        <v>0.1143453928</v>
      </c>
      <c r="N8" s="9">
        <f t="shared" si="3"/>
        <v>0.1143453928</v>
      </c>
    </row>
    <row r="9">
      <c r="A9" s="1" t="s">
        <v>3</v>
      </c>
      <c r="B9" s="4">
        <v>41286.0</v>
      </c>
      <c r="C9" s="4">
        <v>41640.0</v>
      </c>
      <c r="D9" s="4">
        <v>41641.0</v>
      </c>
      <c r="E9" s="4">
        <v>41642.0</v>
      </c>
      <c r="F9" s="4">
        <v>41643.0</v>
      </c>
      <c r="G9" s="4">
        <v>41644.0</v>
      </c>
      <c r="H9" s="4">
        <v>41645.0</v>
      </c>
      <c r="I9" s="4">
        <v>41646.0</v>
      </c>
      <c r="J9" s="4">
        <v>41647.0</v>
      </c>
      <c r="K9" s="4">
        <v>41648.0</v>
      </c>
      <c r="L9" s="4">
        <v>41649.0</v>
      </c>
      <c r="M9" s="4">
        <v>41650.0</v>
      </c>
      <c r="N9" s="4">
        <v>41651.0</v>
      </c>
    </row>
    <row r="10">
      <c r="A10" s="1" t="s">
        <v>8</v>
      </c>
      <c r="B10" s="5">
        <v>11729.0</v>
      </c>
      <c r="C10" s="5">
        <f t="shared" ref="C10:N10" si="4">B10*(1 + C8)</f>
        <v>13070.15711</v>
      </c>
      <c r="D10" s="5">
        <f t="shared" si="4"/>
        <v>14564.66936</v>
      </c>
      <c r="E10" s="5">
        <f t="shared" si="4"/>
        <v>16230.0722</v>
      </c>
      <c r="F10" s="5">
        <f t="shared" si="4"/>
        <v>18085.90618</v>
      </c>
      <c r="G10" s="5">
        <f t="shared" si="4"/>
        <v>20153.94623</v>
      </c>
      <c r="H10" s="5">
        <f t="shared" si="4"/>
        <v>22458.45712</v>
      </c>
      <c r="I10" s="5">
        <f t="shared" si="4"/>
        <v>25026.47823</v>
      </c>
      <c r="J10" s="5">
        <f t="shared" si="4"/>
        <v>27888.14071</v>
      </c>
      <c r="K10" s="5">
        <f t="shared" si="4"/>
        <v>31077.02111</v>
      </c>
      <c r="L10" s="5">
        <f t="shared" si="4"/>
        <v>34630.5353</v>
      </c>
      <c r="M10" s="5">
        <f t="shared" si="4"/>
        <v>38590.37746</v>
      </c>
      <c r="N10" s="5">
        <f t="shared" si="4"/>
        <v>43003.00933</v>
      </c>
    </row>
    <row r="11">
      <c r="A11" s="1"/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1"/>
      <c r="B13" s="1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3" t="s">
        <v>17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>
      <c r="A15" s="1"/>
      <c r="B15" s="12" t="s">
        <v>18</v>
      </c>
      <c r="C15" s="1"/>
      <c r="D15" s="1"/>
      <c r="E15" s="12" t="s">
        <v>19</v>
      </c>
      <c r="F15" s="12" t="s">
        <v>20</v>
      </c>
      <c r="G15" s="13"/>
      <c r="H15" s="1"/>
      <c r="I15" s="1"/>
      <c r="J15" s="1"/>
      <c r="K15" s="1"/>
      <c r="L15" s="1"/>
      <c r="M15" s="1"/>
      <c r="N15" s="1"/>
    </row>
    <row r="16">
      <c r="A16" s="1"/>
      <c r="B16" s="8">
        <f>AVERAGE(C5:N5)</f>
        <v>0.115</v>
      </c>
      <c r="C16" s="10"/>
      <c r="D16" s="1"/>
      <c r="E16" s="1">
        <f>PRODUCT(C6:N6)</f>
        <v>3.666383266</v>
      </c>
      <c r="F16" s="14">
        <f>POWER(E16,1/12)</f>
        <v>1.114345393</v>
      </c>
      <c r="G16" s="15">
        <f>F16-1</f>
        <v>0.1143453928</v>
      </c>
      <c r="H16" s="14"/>
      <c r="I16" s="1"/>
      <c r="J16" s="1"/>
      <c r="K16" s="1"/>
      <c r="L16" s="1"/>
      <c r="M16" s="1"/>
      <c r="N16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3.86"/>
    <col customWidth="1" min="5" max="5" width="18.71"/>
    <col customWidth="1" min="7" max="7" width="6.29"/>
  </cols>
  <sheetData>
    <row r="2">
      <c r="C2" s="16" t="s">
        <v>21</v>
      </c>
      <c r="E2" s="2" t="s">
        <v>22</v>
      </c>
      <c r="G2" s="16" t="s">
        <v>23</v>
      </c>
    </row>
    <row r="3">
      <c r="C3" s="2">
        <v>50.0</v>
      </c>
      <c r="E3" s="7">
        <f>(C3+G3)/2</f>
        <v>75</v>
      </c>
      <c r="G3" s="2">
        <v>100.0</v>
      </c>
    </row>
    <row r="4">
      <c r="D4" s="7">
        <f>E3-C3</f>
        <v>25</v>
      </c>
      <c r="F4" s="7">
        <f>G3-E3</f>
        <v>25</v>
      </c>
    </row>
    <row r="5">
      <c r="F5" s="2" t="s">
        <v>24</v>
      </c>
    </row>
    <row r="6">
      <c r="F6" s="2"/>
    </row>
    <row r="7">
      <c r="C7" s="2">
        <v>50.0</v>
      </c>
      <c r="E7" s="2" t="s">
        <v>20</v>
      </c>
      <c r="G7" s="2">
        <v>100.0</v>
      </c>
    </row>
    <row r="8">
      <c r="E8" s="17">
        <f>sqrt(C7*G7)</f>
        <v>70.71067812</v>
      </c>
    </row>
    <row r="9">
      <c r="D9" s="7">
        <f>E8/C7</f>
        <v>1.414213562</v>
      </c>
      <c r="F9" s="7">
        <f>G7/E8</f>
        <v>1.414213562</v>
      </c>
    </row>
    <row r="11">
      <c r="C11" s="2">
        <v>50.0</v>
      </c>
      <c r="E11" s="2" t="s">
        <v>25</v>
      </c>
      <c r="G11" s="2">
        <v>100.0</v>
      </c>
    </row>
    <row r="12">
      <c r="E12" s="17">
        <f>2/((1/C3) + (1/G3))</f>
        <v>66.66666667</v>
      </c>
    </row>
    <row r="13">
      <c r="D13" s="7">
        <f>1/C11 - 1/E12</f>
        <v>0.005</v>
      </c>
      <c r="F13" s="7">
        <f>1/E12 - 1/G11</f>
        <v>0.005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16.29"/>
  </cols>
  <sheetData>
    <row r="1">
      <c r="A1" s="18" t="s">
        <v>26</v>
      </c>
      <c r="B1" s="18" t="s">
        <v>27</v>
      </c>
      <c r="C1" s="18" t="s">
        <v>28</v>
      </c>
      <c r="D1" s="18" t="s">
        <v>29</v>
      </c>
      <c r="E1" s="18" t="s">
        <v>30</v>
      </c>
    </row>
    <row r="2">
      <c r="A2" s="19">
        <v>41640.0</v>
      </c>
      <c r="B2" s="20">
        <v>2602.0</v>
      </c>
      <c r="C2" s="20">
        <v>14765.0</v>
      </c>
      <c r="D2" s="21">
        <f t="shared" ref="D2:D21" si="1">C2+B2-C3</f>
        <v>587</v>
      </c>
      <c r="E2" s="15">
        <f t="shared" ref="E2:E21" si="2">D2/C2</f>
        <v>0.03975618016</v>
      </c>
    </row>
    <row r="3">
      <c r="A3" s="19">
        <v>41671.0</v>
      </c>
      <c r="B3" s="20">
        <v>3177.0</v>
      </c>
      <c r="C3" s="22">
        <v>16780.0</v>
      </c>
      <c r="D3" s="21">
        <f t="shared" si="1"/>
        <v>835</v>
      </c>
      <c r="E3" s="15">
        <f t="shared" si="2"/>
        <v>0.04976162098</v>
      </c>
    </row>
    <row r="4">
      <c r="A4" s="19">
        <v>41699.0</v>
      </c>
      <c r="B4" s="20">
        <v>3374.0</v>
      </c>
      <c r="C4" s="20">
        <v>19122.0</v>
      </c>
      <c r="D4" s="21">
        <f t="shared" si="1"/>
        <v>1863</v>
      </c>
      <c r="E4" s="15">
        <f t="shared" si="2"/>
        <v>0.09742704738</v>
      </c>
    </row>
    <row r="5">
      <c r="A5" s="19">
        <v>41730.0</v>
      </c>
      <c r="B5" s="20">
        <v>2742.0</v>
      </c>
      <c r="C5" s="20">
        <v>20633.0</v>
      </c>
      <c r="D5" s="21">
        <f t="shared" si="1"/>
        <v>583</v>
      </c>
      <c r="E5" s="15">
        <f t="shared" si="2"/>
        <v>0.02825570688</v>
      </c>
    </row>
    <row r="6">
      <c r="A6" s="19">
        <v>41760.0</v>
      </c>
      <c r="B6" s="20">
        <v>3418.0</v>
      </c>
      <c r="C6" s="20">
        <v>22792.0</v>
      </c>
      <c r="D6" s="21">
        <f t="shared" si="1"/>
        <v>1797</v>
      </c>
      <c r="E6" s="15">
        <f t="shared" si="2"/>
        <v>0.07884345384</v>
      </c>
    </row>
    <row r="7">
      <c r="A7" s="19">
        <v>41791.0</v>
      </c>
      <c r="B7" s="20">
        <v>2778.0</v>
      </c>
      <c r="C7" s="20">
        <v>24413.0</v>
      </c>
      <c r="D7" s="21">
        <f t="shared" si="1"/>
        <v>1744</v>
      </c>
      <c r="E7" s="15">
        <f t="shared" si="2"/>
        <v>0.07143734895</v>
      </c>
    </row>
    <row r="8">
      <c r="A8" s="19">
        <v>41821.0</v>
      </c>
      <c r="B8" s="20">
        <v>2804.0</v>
      </c>
      <c r="C8" s="20">
        <v>25447.0</v>
      </c>
      <c r="D8" s="21">
        <f t="shared" si="1"/>
        <v>1440</v>
      </c>
      <c r="E8" s="15">
        <f t="shared" si="2"/>
        <v>0.05658820293</v>
      </c>
    </row>
    <row r="9">
      <c r="A9" s="19">
        <v>41852.0</v>
      </c>
      <c r="B9" s="22">
        <v>3190.0</v>
      </c>
      <c r="C9" s="20">
        <v>26811.0</v>
      </c>
      <c r="D9" s="21">
        <f t="shared" si="1"/>
        <v>2360</v>
      </c>
      <c r="E9" s="15">
        <f t="shared" si="2"/>
        <v>0.08802357241</v>
      </c>
    </row>
    <row r="10">
      <c r="A10" s="19">
        <v>41883.0</v>
      </c>
      <c r="B10" s="22">
        <v>3000.0</v>
      </c>
      <c r="C10" s="20">
        <v>27641.0</v>
      </c>
      <c r="D10" s="21">
        <f t="shared" si="1"/>
        <v>2918</v>
      </c>
      <c r="E10" s="15">
        <f t="shared" si="2"/>
        <v>0.1055678159</v>
      </c>
    </row>
    <row r="11">
      <c r="A11" s="19">
        <v>41913.0</v>
      </c>
      <c r="B11" s="20">
        <v>2634.0</v>
      </c>
      <c r="C11" s="20">
        <v>27723.0</v>
      </c>
      <c r="D11" s="21">
        <f t="shared" si="1"/>
        <v>2175</v>
      </c>
      <c r="E11" s="15">
        <f t="shared" si="2"/>
        <v>0.07845471269</v>
      </c>
    </row>
    <row r="12">
      <c r="A12" s="19">
        <v>41944.0</v>
      </c>
      <c r="B12" s="20">
        <v>2514.0</v>
      </c>
      <c r="C12" s="20">
        <v>28182.0</v>
      </c>
      <c r="D12" s="21">
        <f t="shared" si="1"/>
        <v>1970</v>
      </c>
      <c r="E12" s="15">
        <f t="shared" si="2"/>
        <v>0.06990277482</v>
      </c>
    </row>
    <row r="13">
      <c r="A13" s="19">
        <v>41974.0</v>
      </c>
      <c r="B13" s="22">
        <v>3200.0</v>
      </c>
      <c r="C13" s="20">
        <v>28726.0</v>
      </c>
      <c r="D13" s="21">
        <f t="shared" si="1"/>
        <v>2701</v>
      </c>
      <c r="E13" s="15">
        <f t="shared" si="2"/>
        <v>0.09402631762</v>
      </c>
    </row>
    <row r="14">
      <c r="A14" s="19">
        <v>42005.0</v>
      </c>
      <c r="B14" s="20">
        <v>2884.0</v>
      </c>
      <c r="C14" s="20">
        <v>29225.0</v>
      </c>
      <c r="D14" s="21">
        <f t="shared" si="1"/>
        <v>1350</v>
      </c>
      <c r="E14" s="15">
        <f t="shared" si="2"/>
        <v>0.04619332763</v>
      </c>
    </row>
    <row r="15">
      <c r="A15" s="19">
        <v>42036.0</v>
      </c>
      <c r="B15" s="20">
        <v>3363.0</v>
      </c>
      <c r="C15" s="20">
        <v>30759.0</v>
      </c>
      <c r="D15" s="21">
        <f t="shared" si="1"/>
        <v>1906</v>
      </c>
      <c r="E15" s="15">
        <f t="shared" si="2"/>
        <v>0.06196560356</v>
      </c>
    </row>
    <row r="16">
      <c r="A16" s="19">
        <v>42064.0</v>
      </c>
      <c r="B16" s="22">
        <v>3220.0</v>
      </c>
      <c r="C16" s="20">
        <v>32216.0</v>
      </c>
      <c r="D16" s="21">
        <f t="shared" si="1"/>
        <v>3326</v>
      </c>
      <c r="E16" s="15">
        <f t="shared" si="2"/>
        <v>0.1032406258</v>
      </c>
    </row>
    <row r="17">
      <c r="A17" s="19">
        <v>42095.0</v>
      </c>
      <c r="B17" s="20">
        <v>2908.0</v>
      </c>
      <c r="C17" s="22">
        <v>32110.0</v>
      </c>
      <c r="D17" s="21">
        <f t="shared" si="1"/>
        <v>2497</v>
      </c>
      <c r="E17" s="15">
        <f t="shared" si="2"/>
        <v>0.07776393647</v>
      </c>
    </row>
    <row r="18">
      <c r="A18" s="19">
        <v>42125.0</v>
      </c>
      <c r="B18" s="20">
        <v>2616.0</v>
      </c>
      <c r="C18" s="20">
        <v>32521.0</v>
      </c>
      <c r="D18" s="21">
        <f t="shared" si="1"/>
        <v>3072</v>
      </c>
      <c r="E18" s="15">
        <f t="shared" si="2"/>
        <v>0.09446203991</v>
      </c>
    </row>
    <row r="19">
      <c r="A19" s="19">
        <v>42156.0</v>
      </c>
      <c r="B19" s="20">
        <v>2762.0</v>
      </c>
      <c r="C19" s="20">
        <v>32065.0</v>
      </c>
      <c r="D19" s="21">
        <f t="shared" si="1"/>
        <v>1396</v>
      </c>
      <c r="E19" s="15">
        <f t="shared" si="2"/>
        <v>0.04353656635</v>
      </c>
    </row>
    <row r="20">
      <c r="A20" s="19">
        <v>42186.0</v>
      </c>
      <c r="B20" s="20">
        <v>3276.0</v>
      </c>
      <c r="C20" s="20">
        <v>33431.0</v>
      </c>
      <c r="D20" s="21">
        <f t="shared" si="1"/>
        <v>3046</v>
      </c>
      <c r="E20" s="15">
        <f t="shared" si="2"/>
        <v>0.0911130388</v>
      </c>
    </row>
    <row r="21">
      <c r="A21" s="19">
        <v>42217.0</v>
      </c>
      <c r="B21" s="20">
        <v>3401.0</v>
      </c>
      <c r="C21" s="20">
        <v>33661.0</v>
      </c>
      <c r="D21" s="21">
        <f t="shared" si="1"/>
        <v>2590</v>
      </c>
      <c r="E21" s="15">
        <f t="shared" si="2"/>
        <v>0.07694364398</v>
      </c>
    </row>
    <row r="22">
      <c r="A22" s="19">
        <v>42248.0</v>
      </c>
      <c r="B22" s="20">
        <v>3481.0</v>
      </c>
      <c r="C22" s="20">
        <v>34472.0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55.71"/>
  </cols>
  <sheetData>
    <row r="1">
      <c r="A1" s="38" t="s">
        <v>26</v>
      </c>
      <c r="B1" s="18" t="s">
        <v>38</v>
      </c>
    </row>
    <row r="2">
      <c r="A2" s="19">
        <v>41640.0</v>
      </c>
      <c r="B2" s="2">
        <v>1729.0</v>
      </c>
      <c r="H2" s="2" t="s">
        <v>39</v>
      </c>
      <c r="I2" s="2">
        <v>2000.0</v>
      </c>
    </row>
    <row r="3">
      <c r="A3" s="19">
        <v>41671.0</v>
      </c>
      <c r="B3" s="2">
        <v>1522.0</v>
      </c>
      <c r="C3" s="15">
        <f t="shared" ref="C3:C22" si="1">(B2-B3)/B2</f>
        <v>0.1197223829</v>
      </c>
      <c r="D3" s="39">
        <f t="shared" ref="D3:D22" si="2">1-C3</f>
        <v>0.8802776171</v>
      </c>
      <c r="E3" s="15">
        <f t="shared" ref="E3:E22" si="3">$E$24</f>
        <v>0.8547976381</v>
      </c>
      <c r="F3" s="7">
        <f>B2*E3</f>
        <v>1477.945116</v>
      </c>
      <c r="I3" s="7">
        <f t="shared" ref="I3:I31" si="4">I2*0.85</f>
        <v>1700</v>
      </c>
    </row>
    <row r="4">
      <c r="A4" s="19">
        <v>41699.0</v>
      </c>
      <c r="B4" s="2">
        <v>1366.0</v>
      </c>
      <c r="C4" s="15">
        <f t="shared" si="1"/>
        <v>0.1024967148</v>
      </c>
      <c r="D4" s="39">
        <f t="shared" si="2"/>
        <v>0.8975032852</v>
      </c>
      <c r="E4" s="15">
        <f t="shared" si="3"/>
        <v>0.8547976381</v>
      </c>
      <c r="F4" s="7">
        <f t="shared" ref="F4:F22" si="5">F3*E4</f>
        <v>1263.343995</v>
      </c>
      <c r="I4" s="7">
        <f t="shared" si="4"/>
        <v>1445</v>
      </c>
    </row>
    <row r="5">
      <c r="A5" s="19">
        <v>41730.0</v>
      </c>
      <c r="B5" s="2">
        <v>1209.0</v>
      </c>
      <c r="C5" s="15">
        <f t="shared" si="1"/>
        <v>0.1149341142</v>
      </c>
      <c r="D5" s="39">
        <f t="shared" si="2"/>
        <v>0.8850658858</v>
      </c>
      <c r="E5" s="15">
        <f t="shared" si="3"/>
        <v>0.8547976381</v>
      </c>
      <c r="F5" s="7">
        <f t="shared" si="5"/>
        <v>1079.903463</v>
      </c>
      <c r="I5" s="21">
        <f t="shared" si="4"/>
        <v>1228.25</v>
      </c>
    </row>
    <row r="6">
      <c r="A6" s="19">
        <v>41760.0</v>
      </c>
      <c r="B6" s="2">
        <v>972.0</v>
      </c>
      <c r="C6" s="15">
        <f t="shared" si="1"/>
        <v>0.1960297767</v>
      </c>
      <c r="D6" s="39">
        <f t="shared" si="2"/>
        <v>0.8039702233</v>
      </c>
      <c r="E6" s="15">
        <f t="shared" si="3"/>
        <v>0.8547976381</v>
      </c>
      <c r="F6" s="7">
        <f t="shared" si="5"/>
        <v>923.0989294</v>
      </c>
      <c r="I6" s="21">
        <f t="shared" si="4"/>
        <v>1044.0125</v>
      </c>
    </row>
    <row r="7">
      <c r="A7" s="19">
        <v>41791.0</v>
      </c>
      <c r="B7" s="2">
        <v>834.0</v>
      </c>
      <c r="C7" s="15">
        <f t="shared" si="1"/>
        <v>0.1419753086</v>
      </c>
      <c r="D7" s="39">
        <f t="shared" si="2"/>
        <v>0.8580246914</v>
      </c>
      <c r="E7" s="15">
        <f t="shared" si="3"/>
        <v>0.8547976381</v>
      </c>
      <c r="F7" s="7">
        <f t="shared" si="5"/>
        <v>789.0627846</v>
      </c>
      <c r="I7" s="21">
        <f t="shared" si="4"/>
        <v>887.410625</v>
      </c>
    </row>
    <row r="8">
      <c r="A8" s="19">
        <v>41821.0</v>
      </c>
      <c r="B8" s="2">
        <v>750.0</v>
      </c>
      <c r="C8" s="15">
        <f t="shared" si="1"/>
        <v>0.1007194245</v>
      </c>
      <c r="D8" s="39">
        <f t="shared" si="2"/>
        <v>0.8992805755</v>
      </c>
      <c r="E8" s="15">
        <f t="shared" si="3"/>
        <v>0.8547976381</v>
      </c>
      <c r="F8" s="7">
        <f t="shared" si="5"/>
        <v>674.4890047</v>
      </c>
      <c r="I8" s="21">
        <f t="shared" si="4"/>
        <v>754.2990313</v>
      </c>
    </row>
    <row r="9">
      <c r="A9" s="19">
        <v>41852.0</v>
      </c>
      <c r="B9" s="2">
        <v>661.0</v>
      </c>
      <c r="C9" s="15">
        <f t="shared" si="1"/>
        <v>0.1186666667</v>
      </c>
      <c r="D9" s="39">
        <f t="shared" si="2"/>
        <v>0.8813333333</v>
      </c>
      <c r="E9" s="15">
        <f t="shared" si="3"/>
        <v>0.8547976381</v>
      </c>
      <c r="F9" s="7">
        <f t="shared" si="5"/>
        <v>576.5516081</v>
      </c>
      <c r="I9" s="21">
        <f t="shared" si="4"/>
        <v>641.1541766</v>
      </c>
    </row>
    <row r="10">
      <c r="A10" s="19">
        <v>41883.0</v>
      </c>
      <c r="B10" s="2">
        <v>530.0</v>
      </c>
      <c r="C10" s="15">
        <f t="shared" si="1"/>
        <v>0.1981845688</v>
      </c>
      <c r="D10" s="39">
        <f t="shared" si="2"/>
        <v>0.8018154312</v>
      </c>
      <c r="E10" s="15">
        <f t="shared" si="3"/>
        <v>0.8547976381</v>
      </c>
      <c r="F10" s="7">
        <f t="shared" si="5"/>
        <v>492.8349529</v>
      </c>
      <c r="I10" s="21">
        <f t="shared" si="4"/>
        <v>544.9810501</v>
      </c>
    </row>
    <row r="11">
      <c r="A11" s="19">
        <v>41913.0</v>
      </c>
      <c r="B11" s="2">
        <v>446.0</v>
      </c>
      <c r="C11" s="15">
        <f t="shared" si="1"/>
        <v>0.158490566</v>
      </c>
      <c r="D11" s="39">
        <f t="shared" si="2"/>
        <v>0.841509434</v>
      </c>
      <c r="E11" s="15">
        <f t="shared" si="3"/>
        <v>0.8547976381</v>
      </c>
      <c r="F11" s="7">
        <f t="shared" si="5"/>
        <v>421.2741537</v>
      </c>
      <c r="I11" s="21">
        <f t="shared" si="4"/>
        <v>463.2338926</v>
      </c>
    </row>
    <row r="12">
      <c r="A12" s="19">
        <v>41944.0</v>
      </c>
      <c r="B12" s="2">
        <v>362.0</v>
      </c>
      <c r="C12" s="15">
        <f t="shared" si="1"/>
        <v>0.1883408072</v>
      </c>
      <c r="D12" s="39">
        <f t="shared" si="2"/>
        <v>0.8116591928</v>
      </c>
      <c r="E12" s="15">
        <f t="shared" si="3"/>
        <v>0.8547976381</v>
      </c>
      <c r="F12" s="7">
        <f t="shared" si="5"/>
        <v>360.1041516</v>
      </c>
      <c r="I12" s="21">
        <f t="shared" si="4"/>
        <v>393.7488087</v>
      </c>
    </row>
    <row r="13">
      <c r="A13" s="19">
        <v>41974.0</v>
      </c>
      <c r="B13" s="2">
        <v>304.0</v>
      </c>
      <c r="C13" s="15">
        <f t="shared" si="1"/>
        <v>0.1602209945</v>
      </c>
      <c r="D13" s="39">
        <f t="shared" si="2"/>
        <v>0.8397790055</v>
      </c>
      <c r="E13" s="15">
        <f t="shared" si="3"/>
        <v>0.8547976381</v>
      </c>
      <c r="F13" s="7">
        <f t="shared" si="5"/>
        <v>307.8161783</v>
      </c>
      <c r="I13" s="21">
        <f t="shared" si="4"/>
        <v>334.6864874</v>
      </c>
    </row>
    <row r="14">
      <c r="A14" s="19">
        <v>42005.0</v>
      </c>
      <c r="B14" s="2">
        <v>263.0</v>
      </c>
      <c r="C14" s="15">
        <f t="shared" si="1"/>
        <v>0.1348684211</v>
      </c>
      <c r="D14" s="39">
        <f t="shared" si="2"/>
        <v>0.8651315789</v>
      </c>
      <c r="E14" s="15">
        <f t="shared" si="3"/>
        <v>0.8547976381</v>
      </c>
      <c r="F14" s="7">
        <f t="shared" si="5"/>
        <v>263.1205422</v>
      </c>
      <c r="I14" s="21">
        <f t="shared" si="4"/>
        <v>284.4835143</v>
      </c>
    </row>
    <row r="15">
      <c r="A15" s="19">
        <v>42036.0</v>
      </c>
      <c r="B15" s="2">
        <v>230.0</v>
      </c>
      <c r="C15" s="15">
        <f t="shared" si="1"/>
        <v>0.1254752852</v>
      </c>
      <c r="D15" s="39">
        <f t="shared" si="2"/>
        <v>0.8745247148</v>
      </c>
      <c r="E15" s="15">
        <f t="shared" si="3"/>
        <v>0.8547976381</v>
      </c>
      <c r="F15" s="7">
        <f t="shared" si="5"/>
        <v>224.914818</v>
      </c>
      <c r="I15" s="21">
        <f t="shared" si="4"/>
        <v>241.8109871</v>
      </c>
    </row>
    <row r="16">
      <c r="A16" s="19">
        <v>42064.0</v>
      </c>
      <c r="B16" s="2">
        <v>193.0</v>
      </c>
      <c r="C16" s="15">
        <f t="shared" si="1"/>
        <v>0.1608695652</v>
      </c>
      <c r="D16" s="39">
        <f t="shared" si="2"/>
        <v>0.8391304348</v>
      </c>
      <c r="E16" s="15">
        <f t="shared" si="3"/>
        <v>0.8547976381</v>
      </c>
      <c r="F16" s="7">
        <f t="shared" si="5"/>
        <v>192.2566552</v>
      </c>
      <c r="I16" s="21">
        <f t="shared" si="4"/>
        <v>205.5393391</v>
      </c>
    </row>
    <row r="17">
      <c r="A17" s="19">
        <v>42095.0</v>
      </c>
      <c r="B17" s="2">
        <v>173.0</v>
      </c>
      <c r="C17" s="15">
        <f t="shared" si="1"/>
        <v>0.103626943</v>
      </c>
      <c r="D17" s="39">
        <f t="shared" si="2"/>
        <v>0.896373057</v>
      </c>
      <c r="E17" s="15">
        <f t="shared" si="3"/>
        <v>0.8547976381</v>
      </c>
      <c r="F17" s="7">
        <f t="shared" si="5"/>
        <v>164.3405348</v>
      </c>
      <c r="I17" s="21">
        <f t="shared" si="4"/>
        <v>174.7084382</v>
      </c>
    </row>
    <row r="18">
      <c r="A18" s="19">
        <v>42125.0</v>
      </c>
      <c r="B18" s="2">
        <v>147.0</v>
      </c>
      <c r="C18" s="15">
        <f t="shared" si="1"/>
        <v>0.1502890173</v>
      </c>
      <c r="D18" s="39">
        <f t="shared" si="2"/>
        <v>0.8497109827</v>
      </c>
      <c r="E18" s="15">
        <f t="shared" si="3"/>
        <v>0.8547976381</v>
      </c>
      <c r="F18" s="7">
        <f t="shared" si="5"/>
        <v>140.477901</v>
      </c>
      <c r="I18" s="21">
        <f t="shared" si="4"/>
        <v>148.5021725</v>
      </c>
    </row>
    <row r="19">
      <c r="A19" s="19">
        <v>42156.0</v>
      </c>
      <c r="B19" s="2">
        <v>122.0</v>
      </c>
      <c r="C19" s="15">
        <f t="shared" si="1"/>
        <v>0.1700680272</v>
      </c>
      <c r="D19" s="39">
        <f t="shared" si="2"/>
        <v>0.8299319728</v>
      </c>
      <c r="E19" s="15">
        <f t="shared" si="3"/>
        <v>0.8547976381</v>
      </c>
      <c r="F19" s="7">
        <f t="shared" si="5"/>
        <v>120.080178</v>
      </c>
      <c r="I19" s="21">
        <f t="shared" si="4"/>
        <v>126.2268466</v>
      </c>
    </row>
    <row r="20">
      <c r="A20" s="19">
        <v>42186.0</v>
      </c>
      <c r="B20" s="2">
        <v>107.0</v>
      </c>
      <c r="C20" s="15">
        <f t="shared" si="1"/>
        <v>0.1229508197</v>
      </c>
      <c r="D20" s="39">
        <f t="shared" si="2"/>
        <v>0.8770491803</v>
      </c>
      <c r="E20" s="15">
        <f t="shared" si="3"/>
        <v>0.8547976381</v>
      </c>
      <c r="F20" s="7">
        <f t="shared" si="5"/>
        <v>102.6442525</v>
      </c>
      <c r="I20" s="21">
        <f t="shared" si="4"/>
        <v>107.2928196</v>
      </c>
    </row>
    <row r="21">
      <c r="A21" s="19">
        <v>42217.0</v>
      </c>
      <c r="B21" s="2">
        <v>88.0</v>
      </c>
      <c r="C21" s="15">
        <f t="shared" si="1"/>
        <v>0.1775700935</v>
      </c>
      <c r="D21" s="39">
        <f t="shared" si="2"/>
        <v>0.8224299065</v>
      </c>
      <c r="E21" s="15">
        <f t="shared" si="3"/>
        <v>0.8547976381</v>
      </c>
      <c r="F21" s="7">
        <f t="shared" si="5"/>
        <v>87.74006461</v>
      </c>
      <c r="I21" s="21">
        <f t="shared" si="4"/>
        <v>91.19889667</v>
      </c>
    </row>
    <row r="22">
      <c r="A22" s="19">
        <v>42248.0</v>
      </c>
      <c r="B22" s="2">
        <v>75.0</v>
      </c>
      <c r="C22" s="15">
        <f t="shared" si="1"/>
        <v>0.1477272727</v>
      </c>
      <c r="D22" s="39">
        <f t="shared" si="2"/>
        <v>0.8522727273</v>
      </c>
      <c r="E22" s="15">
        <f t="shared" si="3"/>
        <v>0.8547976381</v>
      </c>
      <c r="F22" s="7">
        <f t="shared" si="5"/>
        <v>75</v>
      </c>
      <c r="I22" s="21">
        <f t="shared" si="4"/>
        <v>77.51906217</v>
      </c>
    </row>
    <row r="23">
      <c r="E23" s="2" t="s">
        <v>40</v>
      </c>
      <c r="G23" s="2" t="s">
        <v>41</v>
      </c>
      <c r="I23" s="21">
        <f t="shared" si="4"/>
        <v>65.89120284</v>
      </c>
    </row>
    <row r="24">
      <c r="D24" s="7">
        <f>PRODUCT(D3:D22)</f>
        <v>0.04337767496</v>
      </c>
      <c r="E24" s="15">
        <f>POWER(D24,1/20)</f>
        <v>0.8547976381</v>
      </c>
      <c r="F24" s="15">
        <f>1-E24</f>
        <v>0.1452023619</v>
      </c>
      <c r="G24" s="7">
        <f>1/F24</f>
        <v>6.886940316</v>
      </c>
      <c r="I24" s="21">
        <f t="shared" si="4"/>
        <v>56.00752242</v>
      </c>
    </row>
    <row r="25">
      <c r="I25" s="21">
        <f t="shared" si="4"/>
        <v>47.60639405</v>
      </c>
    </row>
    <row r="26">
      <c r="I26" s="21">
        <f t="shared" si="4"/>
        <v>40.46543495</v>
      </c>
    </row>
    <row r="27">
      <c r="I27" s="21">
        <f t="shared" si="4"/>
        <v>34.3956197</v>
      </c>
    </row>
    <row r="28">
      <c r="I28" s="21">
        <f t="shared" si="4"/>
        <v>29.23627675</v>
      </c>
    </row>
    <row r="29">
      <c r="I29" s="21">
        <f t="shared" si="4"/>
        <v>24.85083524</v>
      </c>
    </row>
    <row r="30">
      <c r="I30" s="21">
        <f t="shared" si="4"/>
        <v>21.12320995</v>
      </c>
    </row>
    <row r="31">
      <c r="I31" s="21">
        <f t="shared" si="4"/>
        <v>17.95472846</v>
      </c>
    </row>
  </sheetData>
  <drawing r:id="rId1"/>
</worksheet>
</file>