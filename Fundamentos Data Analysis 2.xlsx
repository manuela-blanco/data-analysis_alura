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s-blog" sheetId="1" r:id="rId3"/>
    <sheet state="visible" name="brinquedos-para-gatos-a1" sheetId="2" r:id="rId4"/>
  </sheets>
  <definedNames/>
  <calcPr/>
</workbook>
</file>

<file path=xl/sharedStrings.xml><?xml version="1.0" encoding="utf-8"?>
<sst xmlns="http://schemas.openxmlformats.org/spreadsheetml/2006/main" count="49" uniqueCount="25">
  <si>
    <t>Data</t>
  </si>
  <si>
    <t>Mês</t>
  </si>
  <si>
    <t>Views do Blog</t>
  </si>
  <si>
    <t>Brinquedos Para Gatos</t>
  </si>
  <si>
    <t>Média móvel - 7</t>
  </si>
  <si>
    <t>Tendência</t>
  </si>
  <si>
    <t>Média móvel - 3</t>
  </si>
  <si>
    <t>Sazonalidade + Erro</t>
  </si>
  <si>
    <t>Média móvel - 21</t>
  </si>
  <si>
    <t>Fator de Sazonalidade</t>
  </si>
  <si>
    <t>Valor Projetado</t>
  </si>
  <si>
    <t>Erro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</si>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</sst>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YY"/>
    <numFmt numFmtId="165" formatCode="d&quot;-&quot;mmm&quot;-&quot;yyyy"/>
  </numFmts>
  <fonts count="7">
    <font>
      <sz val="10.0"/>
      <color rgb="FF000000"/>
      <name val="Arial"/>
    </font>
    <font>
      <b/>
      <sz val="11.0"/>
      <name val="Arial"/>
    </font>
    <font>
      <b/>
      <name val="Arial"/>
    </font>
    <font>
      <b/>
    </font>
    <font>
      <sz val="11.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6" numFmtId="4" xfId="0" applyFont="1" applyNumberFormat="1"/>
    <xf borderId="0" fillId="0" fontId="5" numFmtId="10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6" numFmtId="10" xfId="0" applyFont="1" applyNumberFormat="1"/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Views do Blog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'views-blog'!$B$1</c:f>
            </c:strRef>
          </c:tx>
          <c:marker>
            <c:symbol val="none"/>
          </c:marker>
          <c:cat>
            <c:strRef>
              <c:f>'views-blog'!$A$2:$A$285</c:f>
            </c:strRef>
          </c:cat>
          <c:val>
            <c:numRef>
              <c:f>'views-blog'!$B$2:$B$285</c:f>
            </c:numRef>
          </c:val>
          <c:smooth val="0"/>
        </c:ser>
        <c:axId val="1406010219"/>
        <c:axId val="520500664"/>
      </c:lineChart>
      <c:catAx>
        <c:axId val="1406010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0500664"/>
      </c:catAx>
      <c:valAx>
        <c:axId val="520500664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Quantidade de Views por dia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6010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Média móvel (7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'views-blog'!$C$1</c:f>
            </c:strRef>
          </c:tx>
          <c:marker>
            <c:symbol val="none"/>
          </c:marker>
          <c:val>
            <c:numRef>
              <c:f>'views-blog'!$C$2:$C$285</c:f>
            </c:numRef>
          </c:val>
          <c:smooth val="0"/>
        </c:ser>
        <c:axId val="215576960"/>
        <c:axId val="1865144451"/>
      </c:lineChart>
      <c:catAx>
        <c:axId val="21557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5144451"/>
      </c:catAx>
      <c:valAx>
        <c:axId val="1865144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Média móvel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5576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Média móvel (3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'views-blog'!$D$1</c:f>
            </c:strRef>
          </c:tx>
          <c:marker>
            <c:symbol val="none"/>
          </c:marker>
          <c:val>
            <c:numRef>
              <c:f>'views-blog'!$D$2:$D$285</c:f>
            </c:numRef>
          </c:val>
          <c:smooth val="0"/>
        </c:ser>
        <c:axId val="1713385570"/>
        <c:axId val="793611623"/>
      </c:lineChart>
      <c:catAx>
        <c:axId val="1713385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3611623"/>
      </c:catAx>
      <c:valAx>
        <c:axId val="793611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Média móvel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3385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Média móvel (21 dias)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'views-blog'!$E$1</c:f>
            </c:strRef>
          </c:tx>
          <c:marker>
            <c:symbol val="none"/>
          </c:marker>
          <c:val>
            <c:numRef>
              <c:f>'views-blog'!$E$2:$E$285</c:f>
            </c:numRef>
          </c:val>
          <c:smooth val="0"/>
        </c:ser>
        <c:axId val="617971378"/>
        <c:axId val="889288488"/>
      </c:lineChart>
      <c:catAx>
        <c:axId val="617971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9288488"/>
      </c:catAx>
      <c:valAx>
        <c:axId val="889288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Média móvel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7971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Brinquedos Para Gatos por mês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'brinquedos-para-gatos-a1'!$B$1</c:f>
            </c:strRef>
          </c:tx>
          <c:marker>
            <c:symbol val="none"/>
          </c:marker>
          <c:cat>
            <c:strRef>
              <c:f>'brinquedos-para-gatos-a1'!$A$2:$A$49</c:f>
            </c:strRef>
          </c:cat>
          <c:val>
            <c:numRef>
              <c:f>'brinquedos-para-gatos-a1'!$B$2:$B$49</c:f>
            </c:numRef>
          </c:val>
          <c:smooth val="0"/>
        </c:ser>
        <c:ser>
          <c:idx val="1"/>
          <c:order val="1"/>
          <c:tx>
            <c:strRef>
              <c:f>'brinquedos-para-gatos-a1'!$C$1</c:f>
            </c:strRef>
          </c:tx>
          <c:marker>
            <c:symbol val="none"/>
          </c:marker>
          <c:cat>
            <c:strRef>
              <c:f>'brinquedos-para-gatos-a1'!$A$2:$A$49</c:f>
            </c:strRef>
          </c:cat>
          <c:val>
            <c:numRef>
              <c:f>'brinquedos-para-gatos-a1'!$C$2:$C$49</c:f>
            </c:numRef>
          </c:val>
          <c:smooth val="0"/>
        </c:ser>
        <c:ser>
          <c:idx val="2"/>
          <c:order val="2"/>
          <c:tx>
            <c:strRef>
              <c:f>'brinquedos-para-gatos-a1'!$F$1</c:f>
            </c:strRef>
          </c:tx>
          <c:marker>
            <c:symbol val="none"/>
          </c:marker>
          <c:cat>
            <c:strRef>
              <c:f>'brinquedos-para-gatos-a1'!$A$2:$A$49</c:f>
            </c:strRef>
          </c:cat>
          <c:val>
            <c:numRef>
              <c:f>'brinquedos-para-gatos-a1'!$F$2:$F$49</c:f>
            </c:numRef>
          </c:val>
          <c:smooth val="0"/>
        </c:ser>
        <c:axId val="1634611565"/>
        <c:axId val="884534830"/>
      </c:lineChart>
      <c:catAx>
        <c:axId val="1634611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Mês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4534830"/>
      </c:catAx>
      <c:valAx>
        <c:axId val="884534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Venda de brinquedos Para Gatos (MIl R$)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9937106918239"/>
            </c:manualLayout>
          </c:layout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4611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Vendas Ano a Ano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'brinquedos-para-gatos-a1'!$N$1</c:f>
            </c:strRef>
          </c:tx>
          <c:marker>
            <c:symbol val="none"/>
          </c:marker>
          <c:cat>
            <c:strRef>
              <c:f>'brinquedos-para-gatos-a1'!$M$2:$M$13</c:f>
            </c:strRef>
          </c:cat>
          <c:val>
            <c:numRef>
              <c:f>'brinquedos-para-gatos-a1'!$N$2:$N$13</c:f>
            </c:numRef>
          </c:val>
          <c:smooth val="0"/>
        </c:ser>
        <c:ser>
          <c:idx val="1"/>
          <c:order val="1"/>
          <c:tx>
            <c:strRef>
              <c:f>'brinquedos-para-gatos-a1'!$O$1</c:f>
            </c:strRef>
          </c:tx>
          <c:marker>
            <c:symbol val="none"/>
          </c:marker>
          <c:cat>
            <c:strRef>
              <c:f>'brinquedos-para-gatos-a1'!$M$2:$M$13</c:f>
            </c:strRef>
          </c:cat>
          <c:val>
            <c:numRef>
              <c:f>'brinquedos-para-gatos-a1'!$O$2:$O$13</c:f>
            </c:numRef>
          </c:val>
          <c:smooth val="0"/>
        </c:ser>
        <c:ser>
          <c:idx val="2"/>
          <c:order val="2"/>
          <c:tx>
            <c:strRef>
              <c:f>'brinquedos-para-gatos-a1'!$P$1</c:f>
            </c:strRef>
          </c:tx>
          <c:marker>
            <c:symbol val="none"/>
          </c:marker>
          <c:cat>
            <c:strRef>
              <c:f>'brinquedos-para-gatos-a1'!$M$2:$M$13</c:f>
            </c:strRef>
          </c:cat>
          <c:val>
            <c:numRef>
              <c:f>'brinquedos-para-gatos-a1'!$P$2:$P$13</c:f>
            </c:numRef>
          </c:val>
          <c:smooth val="0"/>
        </c:ser>
        <c:axId val="465960126"/>
        <c:axId val="520371981"/>
      </c:lineChart>
      <c:catAx>
        <c:axId val="465960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0371981"/>
      </c:catAx>
      <c:valAx>
        <c:axId val="520371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Venda de brinquedos (Mil R$)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5960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Sazonalidade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'brinquedos-para-gatos-a1'!$N$15</c:f>
            </c:strRef>
          </c:tx>
          <c:marker>
            <c:symbol val="none"/>
          </c:marker>
          <c:cat>
            <c:strRef>
              <c:f>'brinquedos-para-gatos-a1'!$M$16:$M$27</c:f>
            </c:strRef>
          </c:cat>
          <c:val>
            <c:numRef>
              <c:f>'brinquedos-para-gatos-a1'!$N$16:$N$27</c:f>
            </c:numRef>
          </c:val>
          <c:smooth val="0"/>
        </c:ser>
        <c:ser>
          <c:idx val="1"/>
          <c:order val="1"/>
          <c:tx>
            <c:strRef>
              <c:f>'brinquedos-para-gatos-a1'!$O$15</c:f>
            </c:strRef>
          </c:tx>
          <c:marker>
            <c:symbol val="none"/>
          </c:marker>
          <c:cat>
            <c:strRef>
              <c:f>'brinquedos-para-gatos-a1'!$M$16:$M$27</c:f>
            </c:strRef>
          </c:cat>
          <c:val>
            <c:numRef>
              <c:f>'brinquedos-para-gatos-a1'!$O$16:$O$27</c:f>
            </c:numRef>
          </c:val>
          <c:smooth val="0"/>
        </c:ser>
        <c:ser>
          <c:idx val="2"/>
          <c:order val="2"/>
          <c:tx>
            <c:strRef>
              <c:f>'brinquedos-para-gatos-a1'!$P$15</c:f>
            </c:strRef>
          </c:tx>
          <c:marker>
            <c:symbol val="none"/>
          </c:marker>
          <c:cat>
            <c:strRef>
              <c:f>'brinquedos-para-gatos-a1'!$M$16:$M$27</c:f>
            </c:strRef>
          </c:cat>
          <c:val>
            <c:numRef>
              <c:f>'brinquedos-para-gatos-a1'!$P$16:$P$27</c:f>
            </c:numRef>
          </c:val>
          <c:smooth val="0"/>
        </c:ser>
        <c:axId val="1538554042"/>
        <c:axId val="1799785416"/>
      </c:lineChart>
      <c:catAx>
        <c:axId val="1538554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Mês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9785416"/>
      </c:catAx>
      <c:valAx>
        <c:axId val="1799785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Sazonalidade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8554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Fatores de Sazonalidade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'brinquedos-para-gatos-a1'!$N$29</c:f>
            </c:strRef>
          </c:tx>
          <c:marker>
            <c:symbol val="none"/>
          </c:marker>
          <c:cat>
            <c:strRef>
              <c:f>'brinquedos-para-gatos-a1'!$M$30:$M$41</c:f>
            </c:strRef>
          </c:cat>
          <c:val>
            <c:numRef>
              <c:f>'brinquedos-para-gatos-a1'!$N$30:$N$41</c:f>
            </c:numRef>
          </c:val>
          <c:smooth val="0"/>
        </c:ser>
        <c:ser>
          <c:idx val="1"/>
          <c:order val="1"/>
          <c:tx>
            <c:strRef>
              <c:f>'brinquedos-para-gatos-a1'!$O$29</c:f>
            </c:strRef>
          </c:tx>
          <c:marker>
            <c:symbol val="none"/>
          </c:marker>
          <c:cat>
            <c:strRef>
              <c:f>'brinquedos-para-gatos-a1'!$M$30:$M$41</c:f>
            </c:strRef>
          </c:cat>
          <c:val>
            <c:numRef>
              <c:f>'brinquedos-para-gatos-a1'!$O$30:$O$41</c:f>
            </c:numRef>
          </c:val>
          <c:smooth val="0"/>
        </c:ser>
        <c:ser>
          <c:idx val="2"/>
          <c:order val="2"/>
          <c:tx>
            <c:strRef>
              <c:f>'brinquedos-para-gatos-a1'!$P$29</c:f>
            </c:strRef>
          </c:tx>
          <c:marker>
            <c:symbol val="none"/>
          </c:marker>
          <c:cat>
            <c:strRef>
              <c:f>'brinquedos-para-gatos-a1'!$M$30:$M$41</c:f>
            </c:strRef>
          </c:cat>
          <c:val>
            <c:numRef>
              <c:f>'brinquedos-para-gatos-a1'!$P$30:$P$41</c:f>
            </c:numRef>
          </c:val>
          <c:smooth val="0"/>
        </c:ser>
        <c:axId val="1262235328"/>
        <c:axId val="2021044544"/>
      </c:lineChart>
      <c:catAx>
        <c:axId val="126223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1044544"/>
      </c:catAx>
      <c:valAx>
        <c:axId val="2021044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2235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0</xdr:rowOff>
    </xdr:from>
    <xdr:ext cx="4086225" cy="2343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704850</xdr:colOff>
      <xdr:row>0</xdr:row>
      <xdr:rowOff>0</xdr:rowOff>
    </xdr:from>
    <xdr:ext cx="3590925" cy="23431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266700</xdr:colOff>
      <xdr:row>11</xdr:row>
      <xdr:rowOff>161925</xdr:rowOff>
    </xdr:from>
    <xdr:ext cx="4591050" cy="24479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323850</xdr:colOff>
      <xdr:row>11</xdr:row>
      <xdr:rowOff>161925</xdr:rowOff>
    </xdr:from>
    <xdr:ext cx="3333750" cy="27241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19050</xdr:rowOff>
    </xdr:from>
    <xdr:ext cx="4295775" cy="25908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209550</xdr:colOff>
      <xdr:row>0</xdr:row>
      <xdr:rowOff>0</xdr:rowOff>
    </xdr:from>
    <xdr:ext cx="3876675" cy="24003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209550</xdr:colOff>
      <xdr:row>13</xdr:row>
      <xdr:rowOff>114300</xdr:rowOff>
    </xdr:from>
    <xdr:ext cx="3571875" cy="22098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152400</xdr:colOff>
      <xdr:row>28</xdr:row>
      <xdr:rowOff>0</xdr:rowOff>
    </xdr:from>
    <xdr:ext cx="3876675" cy="24003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71"/>
    <col customWidth="1" min="3" max="5" width="16.86"/>
  </cols>
  <sheetData>
    <row r="1">
      <c r="A1" s="1" t="s">
        <v>0</v>
      </c>
      <c r="B1" s="3" t="s">
        <v>2</v>
      </c>
      <c r="C1" s="5" t="s">
        <v>4</v>
      </c>
      <c r="D1" s="5" t="s">
        <v>6</v>
      </c>
      <c r="E1" s="5" t="s">
        <v>8</v>
      </c>
    </row>
    <row r="2">
      <c r="A2" s="7">
        <v>39620.0</v>
      </c>
      <c r="B2" s="9">
        <v>1740.0</v>
      </c>
    </row>
    <row r="3">
      <c r="A3" s="7">
        <v>39621.0</v>
      </c>
      <c r="B3" s="9">
        <v>1585.0</v>
      </c>
      <c r="D3">
        <f t="shared" ref="D3:D285" si="1">AVERAGE(B2:B4)</f>
        <v>1877.666667</v>
      </c>
    </row>
    <row r="4">
      <c r="A4" s="7">
        <v>39622.0</v>
      </c>
      <c r="B4" s="9">
        <v>2308.0</v>
      </c>
      <c r="D4">
        <f t="shared" si="1"/>
        <v>1961</v>
      </c>
    </row>
    <row r="5">
      <c r="A5" s="7">
        <v>39623.0</v>
      </c>
      <c r="B5" s="9">
        <v>1990.0</v>
      </c>
      <c r="C5">
        <f t="shared" ref="C5:C285" si="2">AVERAGE(B2:B8)</f>
        <v>1912.571429</v>
      </c>
      <c r="D5">
        <f t="shared" si="1"/>
        <v>2037</v>
      </c>
    </row>
    <row r="6">
      <c r="A6" s="7">
        <v>39624.0</v>
      </c>
      <c r="B6" s="9">
        <v>1813.0</v>
      </c>
      <c r="C6">
        <f t="shared" si="2"/>
        <v>1959.428571</v>
      </c>
      <c r="D6">
        <f t="shared" si="1"/>
        <v>1836</v>
      </c>
    </row>
    <row r="7">
      <c r="A7" s="7">
        <v>39625.0</v>
      </c>
      <c r="B7" s="9">
        <v>1705.0</v>
      </c>
      <c r="C7">
        <f t="shared" si="2"/>
        <v>2024.142857</v>
      </c>
      <c r="D7">
        <f t="shared" si="1"/>
        <v>1921.666667</v>
      </c>
    </row>
    <row r="8">
      <c r="A8" s="7">
        <v>39626.0</v>
      </c>
      <c r="B8" s="9">
        <v>2247.0</v>
      </c>
      <c r="C8">
        <f t="shared" si="2"/>
        <v>1973.428571</v>
      </c>
      <c r="D8">
        <f t="shared" si="1"/>
        <v>2006.666667</v>
      </c>
    </row>
    <row r="9">
      <c r="A9" s="7">
        <v>39627.0</v>
      </c>
      <c r="B9" s="9">
        <v>2068.0</v>
      </c>
      <c r="C9">
        <f t="shared" si="2"/>
        <v>1985.428571</v>
      </c>
      <c r="D9">
        <f t="shared" si="1"/>
        <v>2117.666667</v>
      </c>
    </row>
    <row r="10">
      <c r="A10" s="7">
        <v>39628.0</v>
      </c>
      <c r="B10" s="9">
        <v>2038.0</v>
      </c>
      <c r="C10">
        <f t="shared" si="2"/>
        <v>2027.714286</v>
      </c>
      <c r="D10">
        <f t="shared" si="1"/>
        <v>2019.666667</v>
      </c>
    </row>
    <row r="11">
      <c r="A11" s="7">
        <v>39629.0</v>
      </c>
      <c r="B11" s="9">
        <v>1953.0</v>
      </c>
      <c r="C11">
        <f t="shared" si="2"/>
        <v>2105.285714</v>
      </c>
      <c r="D11">
        <f t="shared" si="1"/>
        <v>2021.666667</v>
      </c>
    </row>
    <row r="12">
      <c r="A12" s="7">
        <v>39630.0</v>
      </c>
      <c r="B12" s="9">
        <v>2074.0</v>
      </c>
      <c r="C12">
        <f t="shared" si="2"/>
        <v>2118.285714</v>
      </c>
      <c r="D12">
        <f t="shared" si="1"/>
        <v>2045.333333</v>
      </c>
      <c r="E12">
        <f t="shared" ref="E12:E285" si="3">AVERAGE(B2:B22)</f>
        <v>2074.52381</v>
      </c>
    </row>
    <row r="13">
      <c r="A13" s="7">
        <v>39631.0</v>
      </c>
      <c r="B13" s="9">
        <v>2109.0</v>
      </c>
      <c r="C13">
        <f t="shared" si="2"/>
        <v>2100.142857</v>
      </c>
      <c r="D13">
        <f t="shared" si="1"/>
        <v>2143.666667</v>
      </c>
      <c r="E13">
        <f t="shared" si="3"/>
        <v>2101.190476</v>
      </c>
    </row>
    <row r="14">
      <c r="A14" s="7">
        <v>39632.0</v>
      </c>
      <c r="B14" s="9">
        <v>2248.0</v>
      </c>
      <c r="C14">
        <f t="shared" si="2"/>
        <v>2101.142857</v>
      </c>
      <c r="D14">
        <f t="shared" si="1"/>
        <v>2231.666667</v>
      </c>
      <c r="E14">
        <f t="shared" si="3"/>
        <v>2138.52381</v>
      </c>
    </row>
    <row r="15">
      <c r="A15" s="7">
        <v>39633.0</v>
      </c>
      <c r="B15" s="9">
        <v>2338.0</v>
      </c>
      <c r="C15">
        <f t="shared" si="2"/>
        <v>2143.714286</v>
      </c>
      <c r="D15">
        <f t="shared" si="1"/>
        <v>2175.666667</v>
      </c>
      <c r="E15">
        <f t="shared" si="3"/>
        <v>2145.952381</v>
      </c>
    </row>
    <row r="16">
      <c r="A16" s="7">
        <v>39634.0</v>
      </c>
      <c r="B16" s="9">
        <v>1941.0</v>
      </c>
      <c r="C16">
        <f t="shared" si="2"/>
        <v>2163.142857</v>
      </c>
      <c r="D16">
        <f t="shared" si="1"/>
        <v>2108</v>
      </c>
      <c r="E16">
        <f t="shared" si="3"/>
        <v>2160.238095</v>
      </c>
    </row>
    <row r="17">
      <c r="A17" s="7">
        <v>39635.0</v>
      </c>
      <c r="B17" s="9">
        <v>2045.0</v>
      </c>
      <c r="C17">
        <f t="shared" si="2"/>
        <v>2179.714286</v>
      </c>
      <c r="D17">
        <f t="shared" si="1"/>
        <v>2079</v>
      </c>
      <c r="E17">
        <f t="shared" si="3"/>
        <v>2176.666667</v>
      </c>
    </row>
    <row r="18">
      <c r="A18" s="7">
        <v>39636.0</v>
      </c>
      <c r="B18" s="9">
        <v>2251.0</v>
      </c>
      <c r="C18">
        <f t="shared" si="2"/>
        <v>2192.285714</v>
      </c>
      <c r="D18">
        <f t="shared" si="1"/>
        <v>2168.666667</v>
      </c>
      <c r="E18">
        <f t="shared" si="3"/>
        <v>2210.047619</v>
      </c>
    </row>
    <row r="19">
      <c r="A19" s="7">
        <v>39637.0</v>
      </c>
      <c r="B19" s="9">
        <v>2210.0</v>
      </c>
      <c r="C19">
        <f t="shared" si="2"/>
        <v>2192.714286</v>
      </c>
      <c r="D19">
        <f t="shared" si="1"/>
        <v>2228.666667</v>
      </c>
      <c r="E19">
        <f t="shared" si="3"/>
        <v>2217.047619</v>
      </c>
    </row>
    <row r="20">
      <c r="A20" s="7">
        <v>39638.0</v>
      </c>
      <c r="B20" s="9">
        <v>2225.0</v>
      </c>
      <c r="C20">
        <f t="shared" si="2"/>
        <v>2244</v>
      </c>
      <c r="D20">
        <f t="shared" si="1"/>
        <v>2257</v>
      </c>
      <c r="E20">
        <f t="shared" si="3"/>
        <v>2229.238095</v>
      </c>
    </row>
    <row r="21">
      <c r="A21" s="7">
        <v>39639.0</v>
      </c>
      <c r="B21" s="9">
        <v>2336.0</v>
      </c>
      <c r="C21">
        <f t="shared" si="2"/>
        <v>2290.285714</v>
      </c>
      <c r="D21">
        <f t="shared" si="1"/>
        <v>2300.666667</v>
      </c>
      <c r="E21">
        <f t="shared" si="3"/>
        <v>2246.571429</v>
      </c>
    </row>
    <row r="22">
      <c r="A22" s="7">
        <v>39640.0</v>
      </c>
      <c r="B22" s="9">
        <v>2341.0</v>
      </c>
      <c r="C22">
        <f t="shared" si="2"/>
        <v>2320.714286</v>
      </c>
      <c r="D22">
        <f t="shared" si="1"/>
        <v>2325.666667</v>
      </c>
      <c r="E22">
        <f t="shared" si="3"/>
        <v>2265.428571</v>
      </c>
    </row>
    <row r="23">
      <c r="A23" s="7">
        <v>39641.0</v>
      </c>
      <c r="B23" s="9">
        <v>2300.0</v>
      </c>
      <c r="C23">
        <f t="shared" si="2"/>
        <v>2332.142857</v>
      </c>
      <c r="D23">
        <f t="shared" si="1"/>
        <v>2336.666667</v>
      </c>
      <c r="E23">
        <f t="shared" si="3"/>
        <v>2279.52381</v>
      </c>
    </row>
    <row r="24">
      <c r="A24" s="7">
        <v>39642.0</v>
      </c>
      <c r="B24" s="9">
        <v>2369.0</v>
      </c>
      <c r="C24">
        <f t="shared" si="2"/>
        <v>2322.571429</v>
      </c>
      <c r="D24">
        <f t="shared" si="1"/>
        <v>2377.666667</v>
      </c>
      <c r="E24">
        <f t="shared" si="3"/>
        <v>2296.333333</v>
      </c>
    </row>
    <row r="25">
      <c r="A25" s="7">
        <v>39643.0</v>
      </c>
      <c r="B25" s="9">
        <v>2464.0</v>
      </c>
      <c r="C25">
        <f t="shared" si="2"/>
        <v>2332.571429</v>
      </c>
      <c r="D25">
        <f t="shared" si="1"/>
        <v>2374.333333</v>
      </c>
      <c r="E25">
        <f t="shared" si="3"/>
        <v>2321.333333</v>
      </c>
    </row>
    <row r="26">
      <c r="A26" s="7">
        <v>39644.0</v>
      </c>
      <c r="B26" s="9">
        <v>2290.0</v>
      </c>
      <c r="C26">
        <f t="shared" si="2"/>
        <v>2340.142857</v>
      </c>
      <c r="D26">
        <f t="shared" si="1"/>
        <v>2304</v>
      </c>
      <c r="E26">
        <f t="shared" si="3"/>
        <v>2325.047619</v>
      </c>
    </row>
    <row r="27">
      <c r="A27" s="7">
        <v>39645.0</v>
      </c>
      <c r="B27" s="9">
        <v>2158.0</v>
      </c>
      <c r="C27">
        <f t="shared" si="2"/>
        <v>2343.571429</v>
      </c>
      <c r="D27">
        <f t="shared" si="1"/>
        <v>2284.666667</v>
      </c>
      <c r="E27">
        <f t="shared" si="3"/>
        <v>2349.666667</v>
      </c>
    </row>
    <row r="28">
      <c r="A28" s="7">
        <v>39646.0</v>
      </c>
      <c r="B28" s="9">
        <v>2406.0</v>
      </c>
      <c r="C28">
        <f t="shared" si="2"/>
        <v>2348.285714</v>
      </c>
      <c r="D28">
        <f t="shared" si="1"/>
        <v>2319.333333</v>
      </c>
      <c r="E28">
        <f t="shared" si="3"/>
        <v>2373.238095</v>
      </c>
    </row>
    <row r="29">
      <c r="A29" s="7">
        <v>39647.0</v>
      </c>
      <c r="B29" s="9">
        <v>2394.0</v>
      </c>
      <c r="C29">
        <f t="shared" si="2"/>
        <v>2331.857143</v>
      </c>
      <c r="D29">
        <f t="shared" si="1"/>
        <v>2374.666667</v>
      </c>
      <c r="E29">
        <f t="shared" si="3"/>
        <v>2380.047619</v>
      </c>
    </row>
    <row r="30">
      <c r="A30" s="7">
        <v>39648.0</v>
      </c>
      <c r="B30" s="9">
        <v>2324.0</v>
      </c>
      <c r="C30">
        <f t="shared" si="2"/>
        <v>2343.285714</v>
      </c>
      <c r="D30">
        <f t="shared" si="1"/>
        <v>2373.333333</v>
      </c>
      <c r="E30">
        <f t="shared" si="3"/>
        <v>2402.047619</v>
      </c>
    </row>
    <row r="31">
      <c r="A31" s="7">
        <v>39649.0</v>
      </c>
      <c r="B31" s="9">
        <v>2402.0</v>
      </c>
      <c r="C31">
        <f t="shared" si="2"/>
        <v>2386.714286</v>
      </c>
      <c r="D31">
        <f t="shared" si="1"/>
        <v>2358.333333</v>
      </c>
      <c r="E31">
        <f t="shared" si="3"/>
        <v>2407.380952</v>
      </c>
    </row>
    <row r="32">
      <c r="A32" s="7">
        <v>39650.0</v>
      </c>
      <c r="B32" s="9">
        <v>2349.0</v>
      </c>
      <c r="C32">
        <f t="shared" si="2"/>
        <v>2439.142857</v>
      </c>
      <c r="D32">
        <f t="shared" si="1"/>
        <v>2373.666667</v>
      </c>
      <c r="E32">
        <f t="shared" si="3"/>
        <v>2406.095238</v>
      </c>
    </row>
    <row r="33">
      <c r="A33" s="7">
        <v>39651.0</v>
      </c>
      <c r="B33" s="9">
        <v>2370.0</v>
      </c>
      <c r="C33">
        <f t="shared" si="2"/>
        <v>2442.285714</v>
      </c>
      <c r="D33">
        <f t="shared" si="1"/>
        <v>2393.666667</v>
      </c>
      <c r="E33">
        <f t="shared" si="3"/>
        <v>2405.285714</v>
      </c>
    </row>
    <row r="34">
      <c r="A34" s="7">
        <v>39652.0</v>
      </c>
      <c r="B34" s="9">
        <v>2462.0</v>
      </c>
      <c r="C34">
        <f t="shared" si="2"/>
        <v>2461.428571</v>
      </c>
      <c r="D34">
        <f t="shared" si="1"/>
        <v>2535</v>
      </c>
      <c r="E34">
        <f t="shared" si="3"/>
        <v>2400.857143</v>
      </c>
    </row>
    <row r="35">
      <c r="A35" s="7">
        <v>39653.0</v>
      </c>
      <c r="B35" s="9">
        <v>2773.0</v>
      </c>
      <c r="C35">
        <f t="shared" si="2"/>
        <v>2481.142857</v>
      </c>
      <c r="D35">
        <f t="shared" si="1"/>
        <v>2550.333333</v>
      </c>
      <c r="E35">
        <f t="shared" si="3"/>
        <v>2399.761905</v>
      </c>
    </row>
    <row r="36">
      <c r="A36" s="7">
        <v>39654.0</v>
      </c>
      <c r="B36" s="9">
        <v>2416.0</v>
      </c>
      <c r="C36">
        <f t="shared" si="2"/>
        <v>2487.571429</v>
      </c>
      <c r="D36">
        <f t="shared" si="1"/>
        <v>2549</v>
      </c>
      <c r="E36">
        <f t="shared" si="3"/>
        <v>2416.047619</v>
      </c>
    </row>
    <row r="37">
      <c r="A37" s="7">
        <v>39655.0</v>
      </c>
      <c r="B37" s="9">
        <v>2458.0</v>
      </c>
      <c r="C37">
        <f t="shared" si="2"/>
        <v>2530.714286</v>
      </c>
      <c r="D37">
        <f t="shared" si="1"/>
        <v>2471.333333</v>
      </c>
      <c r="E37">
        <f t="shared" si="3"/>
        <v>2412.47619</v>
      </c>
    </row>
    <row r="38">
      <c r="A38" s="7">
        <v>39656.0</v>
      </c>
      <c r="B38" s="9">
        <v>2540.0</v>
      </c>
      <c r="C38">
        <f t="shared" si="2"/>
        <v>2512.857143</v>
      </c>
      <c r="D38">
        <f t="shared" si="1"/>
        <v>2464</v>
      </c>
      <c r="E38">
        <f t="shared" si="3"/>
        <v>2430.047619</v>
      </c>
    </row>
    <row r="39">
      <c r="A39" s="7">
        <v>39657.0</v>
      </c>
      <c r="B39" s="9">
        <v>2394.0</v>
      </c>
      <c r="C39">
        <f t="shared" si="2"/>
        <v>2446.571429</v>
      </c>
      <c r="D39">
        <f t="shared" si="1"/>
        <v>2535.333333</v>
      </c>
      <c r="E39">
        <f t="shared" si="3"/>
        <v>2447.619048</v>
      </c>
    </row>
    <row r="40">
      <c r="A40" s="7">
        <v>39658.0</v>
      </c>
      <c r="B40" s="9">
        <v>2672.0</v>
      </c>
      <c r="C40">
        <f t="shared" si="2"/>
        <v>2433.428571</v>
      </c>
      <c r="D40">
        <f t="shared" si="1"/>
        <v>2467.666667</v>
      </c>
      <c r="E40">
        <f t="shared" si="3"/>
        <v>2457.47619</v>
      </c>
    </row>
    <row r="41">
      <c r="A41" s="7">
        <v>39659.0</v>
      </c>
      <c r="B41" s="9">
        <v>2337.0</v>
      </c>
      <c r="C41">
        <f t="shared" si="2"/>
        <v>2397.571429</v>
      </c>
      <c r="D41">
        <f t="shared" si="1"/>
        <v>2439.333333</v>
      </c>
      <c r="E41">
        <f t="shared" si="3"/>
        <v>2458.809524</v>
      </c>
    </row>
    <row r="42">
      <c r="A42" s="7">
        <v>39660.0</v>
      </c>
      <c r="B42" s="9">
        <v>2309.0</v>
      </c>
      <c r="C42">
        <f t="shared" si="2"/>
        <v>2369.857143</v>
      </c>
      <c r="D42">
        <f t="shared" si="1"/>
        <v>2323.333333</v>
      </c>
      <c r="E42">
        <f t="shared" si="3"/>
        <v>2480.428571</v>
      </c>
    </row>
    <row r="43">
      <c r="A43" s="7">
        <v>39661.0</v>
      </c>
      <c r="B43" s="9">
        <v>2324.0</v>
      </c>
      <c r="C43">
        <f t="shared" si="2"/>
        <v>2428.714286</v>
      </c>
      <c r="D43">
        <f t="shared" si="1"/>
        <v>2280</v>
      </c>
      <c r="E43">
        <f t="shared" si="3"/>
        <v>2477.095238</v>
      </c>
    </row>
    <row r="44">
      <c r="A44" s="7">
        <v>39662.0</v>
      </c>
      <c r="B44" s="9">
        <v>2207.0</v>
      </c>
      <c r="C44">
        <f t="shared" si="2"/>
        <v>2363.428571</v>
      </c>
      <c r="D44">
        <f t="shared" si="1"/>
        <v>2292.333333</v>
      </c>
      <c r="E44">
        <f t="shared" si="3"/>
        <v>2496.47619</v>
      </c>
    </row>
    <row r="45">
      <c r="A45" s="7">
        <v>39663.0</v>
      </c>
      <c r="B45" s="9">
        <v>2346.0</v>
      </c>
      <c r="C45">
        <f t="shared" si="2"/>
        <v>2390.571429</v>
      </c>
      <c r="D45">
        <f t="shared" si="1"/>
        <v>2453</v>
      </c>
      <c r="E45">
        <f t="shared" si="3"/>
        <v>2500.47619</v>
      </c>
    </row>
    <row r="46">
      <c r="A46" s="7">
        <v>39664.0</v>
      </c>
      <c r="B46" s="9">
        <v>2806.0</v>
      </c>
      <c r="C46">
        <f t="shared" si="2"/>
        <v>2457.142857</v>
      </c>
      <c r="D46">
        <f t="shared" si="1"/>
        <v>2455.666667</v>
      </c>
      <c r="E46">
        <f t="shared" si="3"/>
        <v>2494.857143</v>
      </c>
    </row>
    <row r="47">
      <c r="A47" s="7">
        <v>39665.0</v>
      </c>
      <c r="B47" s="9">
        <v>2215.0</v>
      </c>
      <c r="C47">
        <f t="shared" si="2"/>
        <v>2496.714286</v>
      </c>
      <c r="D47">
        <f t="shared" si="1"/>
        <v>2516</v>
      </c>
      <c r="E47">
        <f t="shared" si="3"/>
        <v>2497.952381</v>
      </c>
    </row>
    <row r="48">
      <c r="A48" s="7">
        <v>39666.0</v>
      </c>
      <c r="B48" s="9">
        <v>2527.0</v>
      </c>
      <c r="C48">
        <f t="shared" si="2"/>
        <v>2517.428571</v>
      </c>
      <c r="D48">
        <f t="shared" si="1"/>
        <v>2505.666667</v>
      </c>
      <c r="E48">
        <f t="shared" si="3"/>
        <v>2498.904762</v>
      </c>
    </row>
    <row r="49">
      <c r="A49" s="7">
        <v>39667.0</v>
      </c>
      <c r="B49" s="9">
        <v>2775.0</v>
      </c>
      <c r="C49">
        <f t="shared" si="2"/>
        <v>2590.285714</v>
      </c>
      <c r="D49">
        <f t="shared" si="1"/>
        <v>2634.333333</v>
      </c>
      <c r="E49">
        <f t="shared" si="3"/>
        <v>2492.428571</v>
      </c>
    </row>
    <row r="50">
      <c r="A50" s="7">
        <v>39668.0</v>
      </c>
      <c r="B50" s="9">
        <v>2601.0</v>
      </c>
      <c r="C50">
        <f t="shared" si="2"/>
        <v>2515</v>
      </c>
      <c r="D50">
        <f t="shared" si="1"/>
        <v>2576</v>
      </c>
      <c r="E50">
        <f t="shared" si="3"/>
        <v>2514.095238</v>
      </c>
    </row>
    <row r="51">
      <c r="A51" s="7">
        <v>39669.0</v>
      </c>
      <c r="B51" s="9">
        <v>2352.0</v>
      </c>
      <c r="C51">
        <f t="shared" si="2"/>
        <v>2595.285714</v>
      </c>
      <c r="D51">
        <f t="shared" si="1"/>
        <v>2603</v>
      </c>
      <c r="E51">
        <f t="shared" si="3"/>
        <v>2520.904762</v>
      </c>
    </row>
    <row r="52">
      <c r="A52" s="7">
        <v>39670.0</v>
      </c>
      <c r="B52" s="9">
        <v>2856.0</v>
      </c>
      <c r="C52">
        <f t="shared" si="2"/>
        <v>2598</v>
      </c>
      <c r="D52">
        <f t="shared" si="1"/>
        <v>2495.666667</v>
      </c>
      <c r="E52">
        <f t="shared" si="3"/>
        <v>2539.095238</v>
      </c>
    </row>
    <row r="53">
      <c r="A53" s="7">
        <v>39671.0</v>
      </c>
      <c r="B53" s="9">
        <v>2279.0</v>
      </c>
      <c r="C53">
        <f t="shared" si="2"/>
        <v>2580.857143</v>
      </c>
      <c r="D53">
        <f t="shared" si="1"/>
        <v>2637.333333</v>
      </c>
      <c r="E53">
        <f t="shared" si="3"/>
        <v>2540.428571</v>
      </c>
    </row>
    <row r="54">
      <c r="A54" s="7">
        <v>39672.0</v>
      </c>
      <c r="B54" s="9">
        <v>2777.0</v>
      </c>
      <c r="C54">
        <f t="shared" si="2"/>
        <v>2563.714286</v>
      </c>
      <c r="D54">
        <f t="shared" si="1"/>
        <v>2534</v>
      </c>
      <c r="E54">
        <f t="shared" si="3"/>
        <v>2540.190476</v>
      </c>
    </row>
    <row r="55">
      <c r="A55" s="7">
        <v>39673.0</v>
      </c>
      <c r="B55" s="9">
        <v>2546.0</v>
      </c>
      <c r="C55">
        <f t="shared" si="2"/>
        <v>2581.714286</v>
      </c>
      <c r="D55">
        <f t="shared" si="1"/>
        <v>2659.333333</v>
      </c>
      <c r="E55">
        <f t="shared" si="3"/>
        <v>2542.380952</v>
      </c>
    </row>
    <row r="56">
      <c r="A56" s="7">
        <v>39674.0</v>
      </c>
      <c r="B56" s="9">
        <v>2655.0</v>
      </c>
      <c r="C56">
        <f t="shared" si="2"/>
        <v>2517.142857</v>
      </c>
      <c r="D56">
        <f t="shared" si="1"/>
        <v>2560.666667</v>
      </c>
      <c r="E56">
        <f t="shared" si="3"/>
        <v>2545.380952</v>
      </c>
    </row>
    <row r="57">
      <c r="A57" s="7">
        <v>39675.0</v>
      </c>
      <c r="B57" s="9">
        <v>2481.0</v>
      </c>
      <c r="C57">
        <f t="shared" si="2"/>
        <v>2598.571429</v>
      </c>
      <c r="D57">
        <f t="shared" si="1"/>
        <v>2538</v>
      </c>
      <c r="E57">
        <f t="shared" si="3"/>
        <v>2533.333333</v>
      </c>
    </row>
    <row r="58">
      <c r="A58" s="7">
        <v>39676.0</v>
      </c>
      <c r="B58" s="9">
        <v>2478.0</v>
      </c>
      <c r="C58">
        <f t="shared" si="2"/>
        <v>2604</v>
      </c>
      <c r="D58">
        <f t="shared" si="1"/>
        <v>2454.333333</v>
      </c>
      <c r="E58">
        <f t="shared" si="3"/>
        <v>2534.761905</v>
      </c>
    </row>
    <row r="59">
      <c r="A59" s="7">
        <v>39677.0</v>
      </c>
      <c r="B59" s="9">
        <v>2404.0</v>
      </c>
      <c r="C59">
        <f t="shared" si="2"/>
        <v>2628.714286</v>
      </c>
      <c r="D59">
        <f t="shared" si="1"/>
        <v>2577</v>
      </c>
      <c r="E59">
        <f t="shared" si="3"/>
        <v>2531.52381</v>
      </c>
    </row>
    <row r="60">
      <c r="A60" s="7">
        <v>39678.0</v>
      </c>
      <c r="B60" s="9">
        <v>2849.0</v>
      </c>
      <c r="C60">
        <f t="shared" si="2"/>
        <v>2583.285714</v>
      </c>
      <c r="D60">
        <f t="shared" si="1"/>
        <v>2689.333333</v>
      </c>
      <c r="E60">
        <f t="shared" si="3"/>
        <v>2531.380952</v>
      </c>
    </row>
    <row r="61">
      <c r="A61" s="7">
        <v>39679.0</v>
      </c>
      <c r="B61" s="9">
        <v>2815.0</v>
      </c>
      <c r="C61">
        <f t="shared" si="2"/>
        <v>2560.142857</v>
      </c>
      <c r="D61">
        <f t="shared" si="1"/>
        <v>2794.333333</v>
      </c>
      <c r="E61">
        <f t="shared" si="3"/>
        <v>2512.714286</v>
      </c>
    </row>
    <row r="62">
      <c r="A62" s="7">
        <v>39680.0</v>
      </c>
      <c r="B62" s="9">
        <v>2719.0</v>
      </c>
      <c r="C62">
        <f t="shared" si="2"/>
        <v>2528</v>
      </c>
      <c r="D62">
        <f t="shared" si="1"/>
        <v>2623.666667</v>
      </c>
      <c r="E62">
        <f t="shared" si="3"/>
        <v>2508.095238</v>
      </c>
    </row>
    <row r="63">
      <c r="A63" s="7">
        <v>39681.0</v>
      </c>
      <c r="B63" s="9">
        <v>2337.0</v>
      </c>
      <c r="C63">
        <f t="shared" si="2"/>
        <v>2528.714286</v>
      </c>
      <c r="D63">
        <f t="shared" si="1"/>
        <v>2458.333333</v>
      </c>
      <c r="E63">
        <f t="shared" si="3"/>
        <v>2495.285714</v>
      </c>
    </row>
    <row r="64">
      <c r="A64" s="7">
        <v>39682.0</v>
      </c>
      <c r="B64" s="9">
        <v>2319.0</v>
      </c>
      <c r="C64">
        <f t="shared" si="2"/>
        <v>2486.428571</v>
      </c>
      <c r="D64">
        <f t="shared" si="1"/>
        <v>2303</v>
      </c>
      <c r="E64">
        <f t="shared" si="3"/>
        <v>2517.52381</v>
      </c>
    </row>
    <row r="65">
      <c r="A65" s="7">
        <v>39683.0</v>
      </c>
      <c r="B65" s="9">
        <v>2253.0</v>
      </c>
      <c r="C65">
        <f t="shared" si="2"/>
        <v>2405</v>
      </c>
      <c r="D65">
        <f t="shared" si="1"/>
        <v>2327</v>
      </c>
      <c r="E65">
        <f t="shared" si="3"/>
        <v>2512.904762</v>
      </c>
    </row>
    <row r="66">
      <c r="A66" s="7">
        <v>39684.0</v>
      </c>
      <c r="B66" s="9">
        <v>2409.0</v>
      </c>
      <c r="C66">
        <f t="shared" si="2"/>
        <v>2367.857143</v>
      </c>
      <c r="D66">
        <f t="shared" si="1"/>
        <v>2405</v>
      </c>
      <c r="E66">
        <f t="shared" si="3"/>
        <v>2506.142857</v>
      </c>
    </row>
    <row r="67">
      <c r="A67" s="7">
        <v>39685.0</v>
      </c>
      <c r="B67" s="9">
        <v>2553.0</v>
      </c>
      <c r="C67">
        <f t="shared" si="2"/>
        <v>2430</v>
      </c>
      <c r="D67">
        <f t="shared" si="1"/>
        <v>2402.333333</v>
      </c>
      <c r="E67">
        <f t="shared" si="3"/>
        <v>2505.142857</v>
      </c>
    </row>
    <row r="68">
      <c r="A68" s="7">
        <v>39686.0</v>
      </c>
      <c r="B68" s="9">
        <v>2245.0</v>
      </c>
      <c r="C68">
        <f t="shared" si="2"/>
        <v>2414.285714</v>
      </c>
      <c r="D68">
        <f t="shared" si="1"/>
        <v>2419</v>
      </c>
      <c r="E68">
        <f t="shared" si="3"/>
        <v>2509.142857</v>
      </c>
    </row>
    <row r="69">
      <c r="A69" s="7">
        <v>39687.0</v>
      </c>
      <c r="B69" s="9">
        <v>2459.0</v>
      </c>
      <c r="C69">
        <f t="shared" si="2"/>
        <v>2414.571429</v>
      </c>
      <c r="D69">
        <f t="shared" si="1"/>
        <v>2492</v>
      </c>
      <c r="E69">
        <f t="shared" si="3"/>
        <v>2501.52381</v>
      </c>
    </row>
    <row r="70">
      <c r="A70" s="7">
        <v>39688.0</v>
      </c>
      <c r="B70" s="9">
        <v>2772.0</v>
      </c>
      <c r="C70">
        <f t="shared" si="2"/>
        <v>2440</v>
      </c>
      <c r="D70">
        <f t="shared" si="1"/>
        <v>2480</v>
      </c>
      <c r="E70">
        <f t="shared" si="3"/>
        <v>2514.666667</v>
      </c>
    </row>
    <row r="71">
      <c r="A71" s="7">
        <v>39689.0</v>
      </c>
      <c r="B71" s="9">
        <v>2209.0</v>
      </c>
      <c r="C71">
        <f t="shared" si="2"/>
        <v>2467.571429</v>
      </c>
      <c r="D71">
        <f t="shared" si="1"/>
        <v>2412</v>
      </c>
      <c r="E71">
        <f t="shared" si="3"/>
        <v>2495.047619</v>
      </c>
    </row>
    <row r="72">
      <c r="A72" s="7">
        <v>39690.0</v>
      </c>
      <c r="B72" s="9">
        <v>2255.0</v>
      </c>
      <c r="C72">
        <f t="shared" si="2"/>
        <v>2529.714286</v>
      </c>
      <c r="D72">
        <f t="shared" si="1"/>
        <v>2350.333333</v>
      </c>
      <c r="E72">
        <f t="shared" si="3"/>
        <v>2490.190476</v>
      </c>
    </row>
    <row r="73">
      <c r="A73" s="7">
        <v>39691.0</v>
      </c>
      <c r="B73" s="9">
        <v>2587.0</v>
      </c>
      <c r="C73">
        <f t="shared" si="2"/>
        <v>2521.857143</v>
      </c>
      <c r="D73">
        <f t="shared" si="1"/>
        <v>2529.333333</v>
      </c>
      <c r="E73">
        <f t="shared" si="3"/>
        <v>2485.47619</v>
      </c>
    </row>
    <row r="74">
      <c r="A74" s="7">
        <v>39692.0</v>
      </c>
      <c r="B74" s="9">
        <v>2746.0</v>
      </c>
      <c r="C74">
        <f t="shared" si="2"/>
        <v>2502.142857</v>
      </c>
      <c r="D74">
        <f t="shared" si="1"/>
        <v>2671</v>
      </c>
      <c r="E74">
        <f t="shared" si="3"/>
        <v>2494.714286</v>
      </c>
    </row>
    <row r="75">
      <c r="A75" s="7">
        <v>39693.0</v>
      </c>
      <c r="B75" s="9">
        <v>2680.0</v>
      </c>
      <c r="C75">
        <f t="shared" si="2"/>
        <v>2553</v>
      </c>
      <c r="D75">
        <f t="shared" si="1"/>
        <v>2610</v>
      </c>
      <c r="E75">
        <f t="shared" si="3"/>
        <v>2499.857143</v>
      </c>
    </row>
    <row r="76">
      <c r="A76" s="7">
        <v>39694.0</v>
      </c>
      <c r="B76" s="9">
        <v>2404.0</v>
      </c>
      <c r="C76">
        <f t="shared" si="2"/>
        <v>2562</v>
      </c>
      <c r="D76">
        <f t="shared" si="1"/>
        <v>2572.666667</v>
      </c>
      <c r="E76">
        <f t="shared" si="3"/>
        <v>2519.047619</v>
      </c>
    </row>
    <row r="77">
      <c r="A77" s="7">
        <v>39695.0</v>
      </c>
      <c r="B77" s="9">
        <v>2634.0</v>
      </c>
      <c r="C77">
        <f t="shared" si="2"/>
        <v>2575.285714</v>
      </c>
      <c r="D77">
        <f t="shared" si="1"/>
        <v>2534.333333</v>
      </c>
      <c r="E77">
        <f t="shared" si="3"/>
        <v>2527.714286</v>
      </c>
    </row>
    <row r="78">
      <c r="A78" s="7">
        <v>39696.0</v>
      </c>
      <c r="B78" s="9">
        <v>2565.0</v>
      </c>
      <c r="C78">
        <f t="shared" si="2"/>
        <v>2531.142857</v>
      </c>
      <c r="D78">
        <f t="shared" si="1"/>
        <v>2505.666667</v>
      </c>
      <c r="E78">
        <f t="shared" si="3"/>
        <v>2535.47619</v>
      </c>
    </row>
    <row r="79">
      <c r="A79" s="7">
        <v>39697.0</v>
      </c>
      <c r="B79" s="9">
        <v>2318.0</v>
      </c>
      <c r="C79">
        <f t="shared" si="2"/>
        <v>2535.857143</v>
      </c>
      <c r="D79">
        <f t="shared" si="1"/>
        <v>2521</v>
      </c>
      <c r="E79">
        <f t="shared" si="3"/>
        <v>2538.904762</v>
      </c>
    </row>
    <row r="80">
      <c r="A80" s="7">
        <v>39698.0</v>
      </c>
      <c r="B80" s="9">
        <v>2680.0</v>
      </c>
      <c r="C80">
        <f t="shared" si="2"/>
        <v>2566.714286</v>
      </c>
      <c r="D80">
        <f t="shared" si="1"/>
        <v>2478.333333</v>
      </c>
      <c r="E80">
        <f t="shared" si="3"/>
        <v>2536.714286</v>
      </c>
    </row>
    <row r="81">
      <c r="A81" s="7">
        <v>39699.0</v>
      </c>
      <c r="B81" s="9">
        <v>2437.0</v>
      </c>
      <c r="C81">
        <f t="shared" si="2"/>
        <v>2552</v>
      </c>
      <c r="D81">
        <f t="shared" si="1"/>
        <v>2610</v>
      </c>
      <c r="E81">
        <f t="shared" si="3"/>
        <v>2531.857143</v>
      </c>
    </row>
    <row r="82">
      <c r="A82" s="7">
        <v>39700.0</v>
      </c>
      <c r="B82" s="9">
        <v>2713.0</v>
      </c>
      <c r="C82">
        <f t="shared" si="2"/>
        <v>2532.285714</v>
      </c>
      <c r="D82">
        <f t="shared" si="1"/>
        <v>2590</v>
      </c>
      <c r="E82">
        <f t="shared" si="3"/>
        <v>2544.761905</v>
      </c>
    </row>
    <row r="83">
      <c r="A83" s="7">
        <v>39701.0</v>
      </c>
      <c r="B83" s="9">
        <v>2620.0</v>
      </c>
      <c r="C83">
        <f t="shared" si="2"/>
        <v>2580.571429</v>
      </c>
      <c r="D83">
        <f t="shared" si="1"/>
        <v>2621.333333</v>
      </c>
      <c r="E83">
        <f t="shared" si="3"/>
        <v>2574.761905</v>
      </c>
    </row>
    <row r="84">
      <c r="A84" s="7">
        <v>39702.0</v>
      </c>
      <c r="B84" s="9">
        <v>2531.0</v>
      </c>
      <c r="C84">
        <f t="shared" si="2"/>
        <v>2567.857143</v>
      </c>
      <c r="D84">
        <f t="shared" si="1"/>
        <v>2526</v>
      </c>
      <c r="E84">
        <f t="shared" si="3"/>
        <v>2576.52381</v>
      </c>
    </row>
    <row r="85">
      <c r="A85" s="7">
        <v>39703.0</v>
      </c>
      <c r="B85" s="9">
        <v>2427.0</v>
      </c>
      <c r="C85">
        <f t="shared" si="2"/>
        <v>2607.714286</v>
      </c>
      <c r="D85">
        <f t="shared" si="1"/>
        <v>2538</v>
      </c>
      <c r="E85">
        <f t="shared" si="3"/>
        <v>2570.380952</v>
      </c>
    </row>
    <row r="86">
      <c r="A86" s="7">
        <v>39704.0</v>
      </c>
      <c r="B86" s="9">
        <v>2656.0</v>
      </c>
      <c r="C86">
        <f t="shared" si="2"/>
        <v>2551.142857</v>
      </c>
      <c r="D86">
        <f t="shared" si="1"/>
        <v>2558</v>
      </c>
      <c r="E86">
        <f t="shared" si="3"/>
        <v>2567.857143</v>
      </c>
    </row>
    <row r="87">
      <c r="A87" s="7">
        <v>39705.0</v>
      </c>
      <c r="B87" s="9">
        <v>2591.0</v>
      </c>
      <c r="C87">
        <f t="shared" si="2"/>
        <v>2521.571429</v>
      </c>
      <c r="D87">
        <f t="shared" si="1"/>
        <v>2654.333333</v>
      </c>
      <c r="E87">
        <f t="shared" si="3"/>
        <v>2548.095238</v>
      </c>
    </row>
    <row r="88">
      <c r="A88" s="7">
        <v>39706.0</v>
      </c>
      <c r="B88" s="9">
        <v>2716.0</v>
      </c>
      <c r="C88">
        <f t="shared" si="2"/>
        <v>2541.428571</v>
      </c>
      <c r="D88">
        <f t="shared" si="1"/>
        <v>2541.333333</v>
      </c>
      <c r="E88">
        <f t="shared" si="3"/>
        <v>2539.142857</v>
      </c>
    </row>
    <row r="89">
      <c r="A89" s="7">
        <v>39707.0</v>
      </c>
      <c r="B89" s="9">
        <v>2317.0</v>
      </c>
      <c r="C89">
        <f t="shared" si="2"/>
        <v>2549</v>
      </c>
      <c r="D89">
        <f t="shared" si="1"/>
        <v>2482</v>
      </c>
      <c r="E89">
        <f t="shared" si="3"/>
        <v>2543.714286</v>
      </c>
    </row>
    <row r="90">
      <c r="A90" s="7">
        <v>39708.0</v>
      </c>
      <c r="B90" s="9">
        <v>2413.0</v>
      </c>
      <c r="C90">
        <f t="shared" si="2"/>
        <v>2581.714286</v>
      </c>
      <c r="D90">
        <f t="shared" si="1"/>
        <v>2466.666667</v>
      </c>
      <c r="E90">
        <f t="shared" si="3"/>
        <v>2541.380952</v>
      </c>
    </row>
    <row r="91">
      <c r="A91" s="7">
        <v>39709.0</v>
      </c>
      <c r="B91" s="9">
        <v>2670.0</v>
      </c>
      <c r="C91">
        <f t="shared" si="2"/>
        <v>2586.428571</v>
      </c>
      <c r="D91">
        <f t="shared" si="1"/>
        <v>2521</v>
      </c>
      <c r="E91">
        <f t="shared" si="3"/>
        <v>2517.428571</v>
      </c>
    </row>
    <row r="92">
      <c r="A92" s="7">
        <v>39710.0</v>
      </c>
      <c r="B92" s="9">
        <v>2480.0</v>
      </c>
      <c r="C92">
        <f t="shared" si="2"/>
        <v>2572.285714</v>
      </c>
      <c r="D92">
        <f t="shared" si="1"/>
        <v>2678.333333</v>
      </c>
      <c r="E92">
        <f t="shared" si="3"/>
        <v>2514.904762</v>
      </c>
    </row>
    <row r="93">
      <c r="A93" s="7">
        <v>39711.0</v>
      </c>
      <c r="B93" s="9">
        <v>2885.0</v>
      </c>
      <c r="C93">
        <f t="shared" si="2"/>
        <v>2616.571429</v>
      </c>
      <c r="D93">
        <f t="shared" si="1"/>
        <v>2663</v>
      </c>
      <c r="E93">
        <f t="shared" si="3"/>
        <v>2481.142857</v>
      </c>
    </row>
    <row r="94">
      <c r="A94" s="7">
        <v>39712.0</v>
      </c>
      <c r="B94" s="9">
        <v>2624.0</v>
      </c>
      <c r="C94">
        <f t="shared" si="2"/>
        <v>2556</v>
      </c>
      <c r="D94">
        <f t="shared" si="1"/>
        <v>2708.666667</v>
      </c>
      <c r="E94">
        <f t="shared" si="3"/>
        <v>2481.047619</v>
      </c>
    </row>
    <row r="95">
      <c r="A95" s="7">
        <v>39713.0</v>
      </c>
      <c r="B95" s="9">
        <v>2617.0</v>
      </c>
      <c r="C95">
        <f t="shared" si="2"/>
        <v>2524</v>
      </c>
      <c r="D95">
        <f t="shared" si="1"/>
        <v>2622.666667</v>
      </c>
      <c r="E95">
        <f t="shared" si="3"/>
        <v>2475.333333</v>
      </c>
    </row>
    <row r="96">
      <c r="A96" s="7">
        <v>39714.0</v>
      </c>
      <c r="B96" s="9">
        <v>2627.0</v>
      </c>
      <c r="C96">
        <f t="shared" si="2"/>
        <v>2549.857143</v>
      </c>
      <c r="D96">
        <f t="shared" si="1"/>
        <v>2411</v>
      </c>
      <c r="E96">
        <f t="shared" si="3"/>
        <v>2460.333333</v>
      </c>
    </row>
    <row r="97">
      <c r="A97" s="7">
        <v>39715.0</v>
      </c>
      <c r="B97" s="9">
        <v>1989.0</v>
      </c>
      <c r="C97">
        <f t="shared" si="2"/>
        <v>2461.857143</v>
      </c>
      <c r="D97">
        <f t="shared" si="1"/>
        <v>2354</v>
      </c>
      <c r="E97">
        <f t="shared" si="3"/>
        <v>2452.714286</v>
      </c>
    </row>
    <row r="98">
      <c r="A98" s="7">
        <v>39716.0</v>
      </c>
      <c r="B98" s="9">
        <v>2446.0</v>
      </c>
      <c r="C98">
        <f t="shared" si="2"/>
        <v>2398</v>
      </c>
      <c r="D98">
        <f t="shared" si="1"/>
        <v>2365.333333</v>
      </c>
      <c r="E98">
        <f t="shared" si="3"/>
        <v>2456.47619</v>
      </c>
    </row>
    <row r="99">
      <c r="A99" s="7">
        <v>39717.0</v>
      </c>
      <c r="B99" s="9">
        <v>2661.0</v>
      </c>
      <c r="C99">
        <f t="shared" si="2"/>
        <v>2364.714286</v>
      </c>
      <c r="D99">
        <f t="shared" si="1"/>
        <v>2458.666667</v>
      </c>
      <c r="E99">
        <f t="shared" si="3"/>
        <v>2438.095238</v>
      </c>
    </row>
    <row r="100">
      <c r="A100" s="7">
        <v>39718.0</v>
      </c>
      <c r="B100" s="9">
        <v>2269.0</v>
      </c>
      <c r="C100">
        <f t="shared" si="2"/>
        <v>2275.714286</v>
      </c>
      <c r="D100">
        <f t="shared" si="1"/>
        <v>2369</v>
      </c>
      <c r="E100">
        <f t="shared" si="3"/>
        <v>2449.714286</v>
      </c>
    </row>
    <row r="101">
      <c r="A101" s="7">
        <v>39719.0</v>
      </c>
      <c r="B101" s="9">
        <v>2177.0</v>
      </c>
      <c r="C101">
        <f t="shared" si="2"/>
        <v>2365.571429</v>
      </c>
      <c r="D101">
        <f t="shared" si="1"/>
        <v>2276.666667</v>
      </c>
      <c r="E101">
        <f t="shared" si="3"/>
        <v>2434.904762</v>
      </c>
    </row>
    <row r="102">
      <c r="A102" s="7">
        <v>39720.0</v>
      </c>
      <c r="B102" s="9">
        <v>2384.0</v>
      </c>
      <c r="C102">
        <f t="shared" si="2"/>
        <v>2360.571429</v>
      </c>
      <c r="D102">
        <f t="shared" si="1"/>
        <v>2188.333333</v>
      </c>
      <c r="E102">
        <f t="shared" si="3"/>
        <v>2427.428571</v>
      </c>
    </row>
    <row r="103">
      <c r="A103" s="7">
        <v>39721.0</v>
      </c>
      <c r="B103" s="9">
        <v>2004.0</v>
      </c>
      <c r="C103">
        <f t="shared" si="2"/>
        <v>2282.142857</v>
      </c>
      <c r="D103">
        <f t="shared" si="1"/>
        <v>2335.333333</v>
      </c>
      <c r="E103">
        <f t="shared" si="3"/>
        <v>2397.52381</v>
      </c>
    </row>
    <row r="104">
      <c r="A104" s="7">
        <v>39722.0</v>
      </c>
      <c r="B104" s="9">
        <v>2618.0</v>
      </c>
      <c r="C104">
        <f t="shared" si="2"/>
        <v>2314.571429</v>
      </c>
      <c r="D104">
        <f t="shared" si="1"/>
        <v>2344.333333</v>
      </c>
      <c r="E104">
        <f t="shared" si="3"/>
        <v>2382.714286</v>
      </c>
    </row>
    <row r="105">
      <c r="A105" s="7">
        <v>39723.0</v>
      </c>
      <c r="B105" s="9">
        <v>2411.0</v>
      </c>
      <c r="C105">
        <f t="shared" si="2"/>
        <v>2385</v>
      </c>
      <c r="D105">
        <f t="shared" si="1"/>
        <v>2380.333333</v>
      </c>
      <c r="E105">
        <f t="shared" si="3"/>
        <v>2351.571429</v>
      </c>
    </row>
    <row r="106">
      <c r="A106" s="7">
        <v>39724.0</v>
      </c>
      <c r="B106" s="9">
        <v>2112.0</v>
      </c>
      <c r="C106">
        <f t="shared" si="2"/>
        <v>2377.285714</v>
      </c>
      <c r="D106">
        <f t="shared" si="1"/>
        <v>2339.666667</v>
      </c>
      <c r="E106">
        <f t="shared" si="3"/>
        <v>2320.666667</v>
      </c>
    </row>
    <row r="107">
      <c r="A107" s="7">
        <v>39725.0</v>
      </c>
      <c r="B107" s="9">
        <v>2496.0</v>
      </c>
      <c r="C107">
        <f t="shared" si="2"/>
        <v>2456.857143</v>
      </c>
      <c r="D107">
        <f t="shared" si="1"/>
        <v>2426</v>
      </c>
      <c r="E107">
        <f t="shared" si="3"/>
        <v>2316.333333</v>
      </c>
    </row>
    <row r="108">
      <c r="A108" s="7">
        <v>39726.0</v>
      </c>
      <c r="B108" s="9">
        <v>2670.0</v>
      </c>
      <c r="C108">
        <f t="shared" si="2"/>
        <v>2383.142857</v>
      </c>
      <c r="D108">
        <f t="shared" si="1"/>
        <v>2498.666667</v>
      </c>
      <c r="E108">
        <f t="shared" si="3"/>
        <v>2333.380952</v>
      </c>
    </row>
    <row r="109">
      <c r="A109" s="7">
        <v>39727.0</v>
      </c>
      <c r="B109" s="9">
        <v>2330.0</v>
      </c>
      <c r="C109">
        <f t="shared" si="2"/>
        <v>2397.714286</v>
      </c>
      <c r="D109">
        <f t="shared" si="1"/>
        <v>2520.333333</v>
      </c>
      <c r="E109">
        <f t="shared" si="3"/>
        <v>2326.666667</v>
      </c>
    </row>
    <row r="110">
      <c r="A110" s="7">
        <v>39728.0</v>
      </c>
      <c r="B110" s="9">
        <v>2561.0</v>
      </c>
      <c r="C110">
        <f t="shared" si="2"/>
        <v>2360.571429</v>
      </c>
      <c r="D110">
        <f t="shared" si="1"/>
        <v>2331</v>
      </c>
      <c r="E110">
        <f t="shared" si="3"/>
        <v>2306.904762</v>
      </c>
    </row>
    <row r="111">
      <c r="A111" s="7">
        <v>39729.0</v>
      </c>
      <c r="B111" s="9">
        <v>2102.0</v>
      </c>
      <c r="C111">
        <f t="shared" si="2"/>
        <v>2371.714286</v>
      </c>
      <c r="D111">
        <f t="shared" si="1"/>
        <v>2392</v>
      </c>
      <c r="E111">
        <f t="shared" si="3"/>
        <v>2293.52381</v>
      </c>
    </row>
    <row r="112">
      <c r="A112" s="7">
        <v>39730.0</v>
      </c>
      <c r="B112" s="9">
        <v>2513.0</v>
      </c>
      <c r="C112">
        <f t="shared" si="2"/>
        <v>2271.714286</v>
      </c>
      <c r="D112">
        <f t="shared" si="1"/>
        <v>2155.666667</v>
      </c>
      <c r="E112">
        <f t="shared" si="3"/>
        <v>2296.619048</v>
      </c>
    </row>
    <row r="113">
      <c r="A113" s="7">
        <v>39731.0</v>
      </c>
      <c r="B113" s="9">
        <v>1852.0</v>
      </c>
      <c r="C113">
        <f t="shared" si="2"/>
        <v>2220</v>
      </c>
      <c r="D113">
        <f t="shared" si="1"/>
        <v>2313</v>
      </c>
      <c r="E113">
        <f t="shared" si="3"/>
        <v>2275.619048</v>
      </c>
    </row>
    <row r="114">
      <c r="A114" s="7">
        <v>39732.0</v>
      </c>
      <c r="B114" s="9">
        <v>2574.0</v>
      </c>
      <c r="C114">
        <f t="shared" si="2"/>
        <v>2216.428571</v>
      </c>
      <c r="D114">
        <f t="shared" si="1"/>
        <v>2132</v>
      </c>
      <c r="E114">
        <f t="shared" si="3"/>
        <v>2291.619048</v>
      </c>
    </row>
    <row r="115">
      <c r="A115" s="7">
        <v>39733.0</v>
      </c>
      <c r="B115" s="9">
        <v>1970.0</v>
      </c>
      <c r="C115">
        <f t="shared" si="2"/>
        <v>2251.428571</v>
      </c>
      <c r="D115">
        <f t="shared" si="1"/>
        <v>2170.666667</v>
      </c>
      <c r="E115">
        <f t="shared" si="3"/>
        <v>2258.619048</v>
      </c>
    </row>
    <row r="116">
      <c r="A116" s="7">
        <v>39734.0</v>
      </c>
      <c r="B116" s="9">
        <v>1968.0</v>
      </c>
      <c r="C116">
        <f t="shared" si="2"/>
        <v>2221.714286</v>
      </c>
      <c r="D116">
        <f t="shared" si="1"/>
        <v>2158</v>
      </c>
      <c r="E116">
        <f t="shared" si="3"/>
        <v>2247.190476</v>
      </c>
    </row>
    <row r="117">
      <c r="A117" s="7">
        <v>39735.0</v>
      </c>
      <c r="B117" s="9">
        <v>2536.0</v>
      </c>
      <c r="C117">
        <f t="shared" si="2"/>
        <v>2278</v>
      </c>
      <c r="D117">
        <f t="shared" si="1"/>
        <v>2283.666667</v>
      </c>
      <c r="E117">
        <f t="shared" si="3"/>
        <v>2252.238095</v>
      </c>
    </row>
    <row r="118">
      <c r="A118" s="7">
        <v>39736.0</v>
      </c>
      <c r="B118" s="9">
        <v>2347.0</v>
      </c>
      <c r="C118">
        <f t="shared" si="2"/>
        <v>2194.285714</v>
      </c>
      <c r="D118">
        <f t="shared" si="1"/>
        <v>2396</v>
      </c>
      <c r="E118">
        <f t="shared" si="3"/>
        <v>2225.52381</v>
      </c>
    </row>
    <row r="119">
      <c r="A119" s="7">
        <v>39737.0</v>
      </c>
      <c r="B119" s="9">
        <v>2305.0</v>
      </c>
      <c r="C119">
        <f t="shared" si="2"/>
        <v>2233.142857</v>
      </c>
      <c r="D119">
        <f t="shared" si="1"/>
        <v>2299.333333</v>
      </c>
      <c r="E119">
        <f t="shared" si="3"/>
        <v>2202.238095</v>
      </c>
    </row>
    <row r="120">
      <c r="A120" s="7">
        <v>39738.0</v>
      </c>
      <c r="B120" s="9">
        <v>2246.0</v>
      </c>
      <c r="C120">
        <f t="shared" si="2"/>
        <v>2229.571429</v>
      </c>
      <c r="D120">
        <f t="shared" si="1"/>
        <v>2179.666667</v>
      </c>
      <c r="E120">
        <f t="shared" si="3"/>
        <v>2189.619048</v>
      </c>
    </row>
    <row r="121">
      <c r="A121" s="7">
        <v>39739.0</v>
      </c>
      <c r="B121" s="9">
        <v>1988.0</v>
      </c>
      <c r="C121">
        <f t="shared" si="2"/>
        <v>2201.571429</v>
      </c>
      <c r="D121">
        <f t="shared" si="1"/>
        <v>2158.666667</v>
      </c>
      <c r="E121">
        <f t="shared" si="3"/>
        <v>2160.095238</v>
      </c>
    </row>
    <row r="122">
      <c r="A122" s="7">
        <v>39740.0</v>
      </c>
      <c r="B122" s="9">
        <v>2242.0</v>
      </c>
      <c r="C122">
        <f t="shared" si="2"/>
        <v>2141.285714</v>
      </c>
      <c r="D122">
        <f t="shared" si="1"/>
        <v>2057.666667</v>
      </c>
      <c r="E122">
        <f t="shared" si="3"/>
        <v>2157.666667</v>
      </c>
    </row>
    <row r="123">
      <c r="A123" s="7">
        <v>39741.0</v>
      </c>
      <c r="B123" s="9">
        <v>1943.0</v>
      </c>
      <c r="C123">
        <f t="shared" si="2"/>
        <v>2122.142857</v>
      </c>
      <c r="D123">
        <f t="shared" si="1"/>
        <v>2175</v>
      </c>
      <c r="E123">
        <f t="shared" si="3"/>
        <v>2136.619048</v>
      </c>
    </row>
    <row r="124">
      <c r="A124" s="7">
        <v>39742.0</v>
      </c>
      <c r="B124" s="9">
        <v>2340.0</v>
      </c>
      <c r="C124">
        <f t="shared" si="2"/>
        <v>2118.142857</v>
      </c>
      <c r="D124">
        <f t="shared" si="1"/>
        <v>2069.333333</v>
      </c>
      <c r="E124">
        <f t="shared" si="3"/>
        <v>2144.047619</v>
      </c>
    </row>
    <row r="125">
      <c r="A125" s="7">
        <v>39743.0</v>
      </c>
      <c r="B125" s="9">
        <v>1925.0</v>
      </c>
      <c r="C125">
        <f t="shared" si="2"/>
        <v>2110.571429</v>
      </c>
      <c r="D125">
        <f t="shared" si="1"/>
        <v>2145.333333</v>
      </c>
      <c r="E125">
        <f t="shared" si="3"/>
        <v>2120.095238</v>
      </c>
    </row>
    <row r="126">
      <c r="A126" s="7">
        <v>39744.0</v>
      </c>
      <c r="B126" s="9">
        <v>2171.0</v>
      </c>
      <c r="C126">
        <f t="shared" si="2"/>
        <v>2101.857143</v>
      </c>
      <c r="D126">
        <f t="shared" si="1"/>
        <v>2104.666667</v>
      </c>
      <c r="E126">
        <f t="shared" si="3"/>
        <v>2136.095238</v>
      </c>
    </row>
    <row r="127">
      <c r="A127" s="7">
        <v>39745.0</v>
      </c>
      <c r="B127" s="9">
        <v>2218.0</v>
      </c>
      <c r="C127">
        <f t="shared" si="2"/>
        <v>2119.285714</v>
      </c>
      <c r="D127">
        <f t="shared" si="1"/>
        <v>2108</v>
      </c>
      <c r="E127">
        <f t="shared" si="3"/>
        <v>2147.285714</v>
      </c>
    </row>
    <row r="128">
      <c r="A128" s="7">
        <v>39746.0</v>
      </c>
      <c r="B128" s="9">
        <v>1935.0</v>
      </c>
      <c r="C128">
        <f t="shared" si="2"/>
        <v>2062.285714</v>
      </c>
      <c r="D128">
        <f t="shared" si="1"/>
        <v>2111.333333</v>
      </c>
      <c r="E128">
        <f t="shared" si="3"/>
        <v>2110.333333</v>
      </c>
    </row>
    <row r="129">
      <c r="A129" s="7">
        <v>39747.0</v>
      </c>
      <c r="B129" s="9">
        <v>2181.0</v>
      </c>
      <c r="C129">
        <f t="shared" si="2"/>
        <v>2080.285714</v>
      </c>
      <c r="D129">
        <f t="shared" si="1"/>
        <v>2060.333333</v>
      </c>
      <c r="E129">
        <f t="shared" si="3"/>
        <v>2102.952381</v>
      </c>
    </row>
    <row r="130">
      <c r="A130" s="7">
        <v>39748.0</v>
      </c>
      <c r="B130" s="9">
        <v>2065.0</v>
      </c>
      <c r="C130">
        <f t="shared" si="2"/>
        <v>2066</v>
      </c>
      <c r="D130">
        <f t="shared" si="1"/>
        <v>2062.333333</v>
      </c>
      <c r="E130">
        <f t="shared" si="3"/>
        <v>2088.761905</v>
      </c>
    </row>
    <row r="131">
      <c r="A131" s="7">
        <v>39749.0</v>
      </c>
      <c r="B131" s="9">
        <v>1941.0</v>
      </c>
      <c r="C131">
        <f t="shared" si="2"/>
        <v>2036</v>
      </c>
      <c r="D131">
        <f t="shared" si="1"/>
        <v>2019</v>
      </c>
      <c r="E131">
        <f t="shared" si="3"/>
        <v>2083.857143</v>
      </c>
    </row>
    <row r="132">
      <c r="A132" s="7">
        <v>39750.0</v>
      </c>
      <c r="B132" s="9">
        <v>2051.0</v>
      </c>
      <c r="C132">
        <f t="shared" si="2"/>
        <v>2055.428571</v>
      </c>
      <c r="D132">
        <f t="shared" si="1"/>
        <v>2021</v>
      </c>
      <c r="E132">
        <f t="shared" si="3"/>
        <v>2095.952381</v>
      </c>
    </row>
    <row r="133">
      <c r="A133" s="7">
        <v>39751.0</v>
      </c>
      <c r="B133" s="9">
        <v>2071.0</v>
      </c>
      <c r="C133">
        <f t="shared" si="2"/>
        <v>2073.285714</v>
      </c>
      <c r="D133">
        <f t="shared" si="1"/>
        <v>2043.333333</v>
      </c>
      <c r="E133">
        <f t="shared" si="3"/>
        <v>2069.619048</v>
      </c>
    </row>
    <row r="134">
      <c r="A134" s="7">
        <v>39752.0</v>
      </c>
      <c r="B134" s="9">
        <v>2008.0</v>
      </c>
      <c r="C134">
        <f t="shared" si="2"/>
        <v>2093</v>
      </c>
      <c r="D134">
        <f t="shared" si="1"/>
        <v>2050</v>
      </c>
      <c r="E134">
        <f t="shared" si="3"/>
        <v>2075.52381</v>
      </c>
    </row>
    <row r="135">
      <c r="A135" s="7">
        <v>39753.0</v>
      </c>
      <c r="B135" s="9">
        <v>2071.0</v>
      </c>
      <c r="C135">
        <f t="shared" si="2"/>
        <v>2067.142857</v>
      </c>
      <c r="D135">
        <f t="shared" si="1"/>
        <v>2128.333333</v>
      </c>
      <c r="E135">
        <f t="shared" si="3"/>
        <v>2051</v>
      </c>
    </row>
    <row r="136">
      <c r="A136" s="7">
        <v>39754.0</v>
      </c>
      <c r="B136" s="9">
        <v>2306.0</v>
      </c>
      <c r="C136">
        <f t="shared" si="2"/>
        <v>2087.285714</v>
      </c>
      <c r="D136">
        <f t="shared" si="1"/>
        <v>2193.333333</v>
      </c>
      <c r="E136">
        <f t="shared" si="3"/>
        <v>2055.571429</v>
      </c>
    </row>
    <row r="137">
      <c r="A137" s="7">
        <v>39755.0</v>
      </c>
      <c r="B137" s="9">
        <v>2203.0</v>
      </c>
      <c r="C137">
        <f t="shared" si="2"/>
        <v>2078.142857</v>
      </c>
      <c r="D137">
        <f t="shared" si="1"/>
        <v>2089.666667</v>
      </c>
      <c r="E137">
        <f t="shared" si="3"/>
        <v>2050</v>
      </c>
    </row>
    <row r="138">
      <c r="A138" s="7">
        <v>39756.0</v>
      </c>
      <c r="B138" s="9">
        <v>1760.0</v>
      </c>
      <c r="C138">
        <f t="shared" si="2"/>
        <v>2097.428571</v>
      </c>
      <c r="D138">
        <f t="shared" si="1"/>
        <v>2051.666667</v>
      </c>
      <c r="E138">
        <f t="shared" si="3"/>
        <v>2044.047619</v>
      </c>
    </row>
    <row r="139">
      <c r="A139" s="7">
        <v>39757.0</v>
      </c>
      <c r="B139" s="9">
        <v>2192.0</v>
      </c>
      <c r="C139">
        <f t="shared" si="2"/>
        <v>2121.857143</v>
      </c>
      <c r="D139">
        <f t="shared" si="1"/>
        <v>1986.333333</v>
      </c>
      <c r="E139">
        <f t="shared" si="3"/>
        <v>2041.285714</v>
      </c>
    </row>
    <row r="140">
      <c r="A140" s="7">
        <v>39758.0</v>
      </c>
      <c r="B140" s="9">
        <v>2007.0</v>
      </c>
      <c r="C140">
        <f t="shared" si="2"/>
        <v>2033.714286</v>
      </c>
      <c r="D140">
        <f t="shared" si="1"/>
        <v>2114</v>
      </c>
      <c r="E140">
        <f t="shared" si="3"/>
        <v>2035.095238</v>
      </c>
    </row>
    <row r="141">
      <c r="A141" s="7">
        <v>39759.0</v>
      </c>
      <c r="B141" s="9">
        <v>2143.0</v>
      </c>
      <c r="C141">
        <f t="shared" si="2"/>
        <v>2014.285714</v>
      </c>
      <c r="D141">
        <f t="shared" si="1"/>
        <v>2130.666667</v>
      </c>
      <c r="E141">
        <f t="shared" si="3"/>
        <v>2032.095238</v>
      </c>
    </row>
    <row r="142">
      <c r="A142" s="7">
        <v>39760.0</v>
      </c>
      <c r="B142" s="9">
        <v>2242.0</v>
      </c>
      <c r="C142">
        <f t="shared" si="2"/>
        <v>2023.571429</v>
      </c>
      <c r="D142">
        <f t="shared" si="1"/>
        <v>2024.666667</v>
      </c>
      <c r="E142">
        <f t="shared" si="3"/>
        <v>2022.238095</v>
      </c>
    </row>
    <row r="143">
      <c r="A143" s="7">
        <v>39761.0</v>
      </c>
      <c r="B143" s="9">
        <v>1689.0</v>
      </c>
      <c r="C143">
        <f t="shared" si="2"/>
        <v>1999.142857</v>
      </c>
      <c r="D143">
        <f t="shared" si="1"/>
        <v>1999.333333</v>
      </c>
      <c r="E143">
        <f t="shared" si="3"/>
        <v>2027.333333</v>
      </c>
    </row>
    <row r="144">
      <c r="A144" s="7">
        <v>39762.0</v>
      </c>
      <c r="B144" s="9">
        <v>2067.0</v>
      </c>
      <c r="C144">
        <f t="shared" si="2"/>
        <v>2005.857143</v>
      </c>
      <c r="D144">
        <f t="shared" si="1"/>
        <v>1860.333333</v>
      </c>
      <c r="E144">
        <f t="shared" si="3"/>
        <v>2024.238095</v>
      </c>
    </row>
    <row r="145">
      <c r="A145" s="7">
        <v>39763.0</v>
      </c>
      <c r="B145" s="9">
        <v>1825.0</v>
      </c>
      <c r="C145">
        <f t="shared" si="2"/>
        <v>1998.714286</v>
      </c>
      <c r="D145">
        <f t="shared" si="1"/>
        <v>1971</v>
      </c>
      <c r="E145">
        <f t="shared" si="3"/>
        <v>2031.095238</v>
      </c>
    </row>
    <row r="146">
      <c r="A146" s="7">
        <v>39764.0</v>
      </c>
      <c r="B146" s="9">
        <v>2021.0</v>
      </c>
      <c r="C146">
        <f t="shared" si="2"/>
        <v>1946.571429</v>
      </c>
      <c r="D146">
        <f t="shared" si="1"/>
        <v>1966.666667</v>
      </c>
      <c r="E146">
        <f t="shared" si="3"/>
        <v>2011.857143</v>
      </c>
    </row>
    <row r="147">
      <c r="A147" s="7">
        <v>39765.0</v>
      </c>
      <c r="B147" s="9">
        <v>2054.0</v>
      </c>
      <c r="C147">
        <f t="shared" si="2"/>
        <v>1998.285714</v>
      </c>
      <c r="D147">
        <f t="shared" si="1"/>
        <v>2056</v>
      </c>
      <c r="E147">
        <f t="shared" si="3"/>
        <v>1992.666667</v>
      </c>
    </row>
    <row r="148">
      <c r="A148" s="7">
        <v>39766.0</v>
      </c>
      <c r="B148" s="9">
        <v>2093.0</v>
      </c>
      <c r="C148">
        <f t="shared" si="2"/>
        <v>1989</v>
      </c>
      <c r="D148">
        <f t="shared" si="1"/>
        <v>2008</v>
      </c>
      <c r="E148">
        <f t="shared" si="3"/>
        <v>1987.238095</v>
      </c>
    </row>
    <row r="149">
      <c r="A149" s="7">
        <v>39767.0</v>
      </c>
      <c r="B149" s="9">
        <v>1877.0</v>
      </c>
      <c r="C149">
        <f t="shared" si="2"/>
        <v>1976</v>
      </c>
      <c r="D149">
        <f t="shared" si="1"/>
        <v>2007</v>
      </c>
      <c r="E149">
        <f t="shared" si="3"/>
        <v>1997</v>
      </c>
    </row>
    <row r="150">
      <c r="A150" s="7">
        <v>39768.0</v>
      </c>
      <c r="B150" s="9">
        <v>2051.0</v>
      </c>
      <c r="C150">
        <f t="shared" si="2"/>
        <v>1995.571429</v>
      </c>
      <c r="D150">
        <f t="shared" si="1"/>
        <v>1976.666667</v>
      </c>
      <c r="E150">
        <f t="shared" si="3"/>
        <v>1988.380952</v>
      </c>
    </row>
    <row r="151">
      <c r="A151" s="7">
        <v>39769.0</v>
      </c>
      <c r="B151" s="9">
        <v>2002.0</v>
      </c>
      <c r="C151">
        <f t="shared" si="2"/>
        <v>1988.714286</v>
      </c>
      <c r="D151">
        <f t="shared" si="1"/>
        <v>1929</v>
      </c>
      <c r="E151">
        <f t="shared" si="3"/>
        <v>1991.904762</v>
      </c>
    </row>
    <row r="152">
      <c r="A152" s="7">
        <v>39770.0</v>
      </c>
      <c r="B152" s="9">
        <v>1734.0</v>
      </c>
      <c r="C152">
        <f t="shared" si="2"/>
        <v>1997.142857</v>
      </c>
      <c r="D152">
        <f t="shared" si="1"/>
        <v>1964.666667</v>
      </c>
      <c r="E152">
        <f t="shared" si="3"/>
        <v>1992.809524</v>
      </c>
    </row>
    <row r="153">
      <c r="A153" s="7">
        <v>39771.0</v>
      </c>
      <c r="B153" s="9">
        <v>2158.0</v>
      </c>
      <c r="C153">
        <f t="shared" si="2"/>
        <v>1967.142857</v>
      </c>
      <c r="D153">
        <f t="shared" si="1"/>
        <v>1966</v>
      </c>
      <c r="E153">
        <f t="shared" si="3"/>
        <v>1971.47619</v>
      </c>
    </row>
    <row r="154">
      <c r="A154" s="7">
        <v>39772.0</v>
      </c>
      <c r="B154" s="9">
        <v>2006.0</v>
      </c>
      <c r="C154">
        <f t="shared" si="2"/>
        <v>1946</v>
      </c>
      <c r="D154">
        <f t="shared" si="1"/>
        <v>2105.333333</v>
      </c>
      <c r="E154">
        <f t="shared" si="3"/>
        <v>1998.952381</v>
      </c>
    </row>
    <row r="155">
      <c r="A155" s="7">
        <v>39773.0</v>
      </c>
      <c r="B155" s="9">
        <v>2152.0</v>
      </c>
      <c r="C155">
        <f t="shared" si="2"/>
        <v>1958.428571</v>
      </c>
      <c r="D155">
        <f t="shared" si="1"/>
        <v>1941.666667</v>
      </c>
      <c r="E155">
        <f t="shared" si="3"/>
        <v>1993.761905</v>
      </c>
    </row>
    <row r="156">
      <c r="A156" s="7">
        <v>39774.0</v>
      </c>
      <c r="B156" s="9">
        <v>1667.0</v>
      </c>
      <c r="C156">
        <f t="shared" si="2"/>
        <v>1991.428571</v>
      </c>
      <c r="D156">
        <f t="shared" si="1"/>
        <v>1907.333333</v>
      </c>
      <c r="E156">
        <f t="shared" si="3"/>
        <v>1996.761905</v>
      </c>
    </row>
    <row r="157">
      <c r="A157" s="7">
        <v>39775.0</v>
      </c>
      <c r="B157" s="9">
        <v>1903.0</v>
      </c>
      <c r="C157">
        <f t="shared" si="2"/>
        <v>1970.428571</v>
      </c>
      <c r="D157">
        <f t="shared" si="1"/>
        <v>1886.333333</v>
      </c>
      <c r="E157">
        <f t="shared" si="3"/>
        <v>1998.761905</v>
      </c>
    </row>
    <row r="158">
      <c r="A158" s="7">
        <v>39776.0</v>
      </c>
      <c r="B158" s="9">
        <v>2089.0</v>
      </c>
      <c r="C158">
        <f t="shared" si="2"/>
        <v>1981.142857</v>
      </c>
      <c r="D158">
        <f t="shared" si="1"/>
        <v>1985.666667</v>
      </c>
      <c r="E158">
        <f t="shared" si="3"/>
        <v>1985.52381</v>
      </c>
    </row>
    <row r="159">
      <c r="A159" s="7">
        <v>39777.0</v>
      </c>
      <c r="B159" s="9">
        <v>1965.0</v>
      </c>
      <c r="C159">
        <f t="shared" si="2"/>
        <v>1982.571429</v>
      </c>
      <c r="D159">
        <f t="shared" si="1"/>
        <v>2021.666667</v>
      </c>
      <c r="E159">
        <f t="shared" si="3"/>
        <v>1991.714286</v>
      </c>
    </row>
    <row r="160">
      <c r="A160" s="7">
        <v>39778.0</v>
      </c>
      <c r="B160" s="9">
        <v>2011.0</v>
      </c>
      <c r="C160">
        <f t="shared" si="2"/>
        <v>2000.714286</v>
      </c>
      <c r="D160">
        <f t="shared" si="1"/>
        <v>2019</v>
      </c>
      <c r="E160">
        <f t="shared" si="3"/>
        <v>2000.238095</v>
      </c>
    </row>
    <row r="161">
      <c r="A161" s="7">
        <v>39779.0</v>
      </c>
      <c r="B161" s="9">
        <v>2081.0</v>
      </c>
      <c r="C161">
        <f t="shared" si="2"/>
        <v>2052.571429</v>
      </c>
      <c r="D161">
        <f t="shared" si="1"/>
        <v>2084.666667</v>
      </c>
      <c r="E161">
        <f t="shared" si="3"/>
        <v>2005</v>
      </c>
    </row>
    <row r="162">
      <c r="A162" s="7">
        <v>39780.0</v>
      </c>
      <c r="B162" s="9">
        <v>2162.0</v>
      </c>
      <c r="C162">
        <f t="shared" si="2"/>
        <v>2033.857143</v>
      </c>
      <c r="D162">
        <f t="shared" si="1"/>
        <v>2012.333333</v>
      </c>
      <c r="E162">
        <f t="shared" si="3"/>
        <v>2006.52381</v>
      </c>
    </row>
    <row r="163">
      <c r="A163" s="7">
        <v>39781.0</v>
      </c>
      <c r="B163" s="9">
        <v>1794.0</v>
      </c>
      <c r="C163">
        <f t="shared" si="2"/>
        <v>2022.857143</v>
      </c>
      <c r="D163">
        <f t="shared" si="1"/>
        <v>2074</v>
      </c>
      <c r="E163">
        <f t="shared" si="3"/>
        <v>2021.714286</v>
      </c>
    </row>
    <row r="164">
      <c r="A164" s="7">
        <v>39782.0</v>
      </c>
      <c r="B164" s="9">
        <v>2266.0</v>
      </c>
      <c r="C164">
        <f t="shared" si="2"/>
        <v>2030.285714</v>
      </c>
      <c r="D164">
        <f t="shared" si="1"/>
        <v>2006</v>
      </c>
      <c r="E164">
        <f t="shared" si="3"/>
        <v>2032.095238</v>
      </c>
    </row>
    <row r="165">
      <c r="A165" s="7">
        <v>39783.0</v>
      </c>
      <c r="B165" s="9">
        <v>1958.0</v>
      </c>
      <c r="C165">
        <f t="shared" si="2"/>
        <v>1986.714286</v>
      </c>
      <c r="D165">
        <f t="shared" si="1"/>
        <v>2037.333333</v>
      </c>
      <c r="E165">
        <f t="shared" si="3"/>
        <v>2044.809524</v>
      </c>
    </row>
    <row r="166">
      <c r="A166" s="7">
        <v>39784.0</v>
      </c>
      <c r="B166" s="9">
        <v>1888.0</v>
      </c>
      <c r="C166">
        <f t="shared" si="2"/>
        <v>1995.428571</v>
      </c>
      <c r="D166">
        <f t="shared" si="1"/>
        <v>1969.666667</v>
      </c>
      <c r="E166">
        <f t="shared" si="3"/>
        <v>2037.52381</v>
      </c>
    </row>
    <row r="167">
      <c r="A167" s="7">
        <v>39785.0</v>
      </c>
      <c r="B167" s="9">
        <v>2063.0</v>
      </c>
      <c r="C167">
        <f t="shared" si="2"/>
        <v>2032.857143</v>
      </c>
      <c r="D167">
        <f t="shared" si="1"/>
        <v>1909</v>
      </c>
      <c r="E167">
        <f t="shared" si="3"/>
        <v>2045.333333</v>
      </c>
    </row>
    <row r="168">
      <c r="A168" s="7">
        <v>39786.0</v>
      </c>
      <c r="B168" s="9">
        <v>1776.0</v>
      </c>
      <c r="C168">
        <f t="shared" si="2"/>
        <v>2016.428571</v>
      </c>
      <c r="D168">
        <f t="shared" si="1"/>
        <v>2020.666667</v>
      </c>
      <c r="E168">
        <f t="shared" si="3"/>
        <v>2043.095238</v>
      </c>
    </row>
    <row r="169">
      <c r="A169" s="7">
        <v>39787.0</v>
      </c>
      <c r="B169" s="9">
        <v>2223.0</v>
      </c>
      <c r="C169">
        <f t="shared" si="2"/>
        <v>2027.285714</v>
      </c>
      <c r="D169">
        <f t="shared" si="1"/>
        <v>2018.333333</v>
      </c>
      <c r="E169">
        <f t="shared" si="3"/>
        <v>2046.571429</v>
      </c>
    </row>
    <row r="170">
      <c r="A170" s="7">
        <v>39788.0</v>
      </c>
      <c r="B170" s="9">
        <v>2056.0</v>
      </c>
      <c r="C170">
        <f t="shared" si="2"/>
        <v>2050.857143</v>
      </c>
      <c r="D170">
        <f t="shared" si="1"/>
        <v>2143.333333</v>
      </c>
      <c r="E170">
        <f t="shared" si="3"/>
        <v>2064.857143</v>
      </c>
    </row>
    <row r="171">
      <c r="A171" s="7">
        <v>39789.0</v>
      </c>
      <c r="B171" s="9">
        <v>2151.0</v>
      </c>
      <c r="C171">
        <f t="shared" si="2"/>
        <v>2095.571429</v>
      </c>
      <c r="D171">
        <f t="shared" si="1"/>
        <v>2080.333333</v>
      </c>
      <c r="E171">
        <f t="shared" si="3"/>
        <v>2079.666667</v>
      </c>
    </row>
    <row r="172">
      <c r="A172" s="7">
        <v>39790.0</v>
      </c>
      <c r="B172" s="9">
        <v>2034.0</v>
      </c>
      <c r="C172">
        <f t="shared" si="2"/>
        <v>2166.571429</v>
      </c>
      <c r="D172">
        <f t="shared" si="1"/>
        <v>2079.333333</v>
      </c>
      <c r="E172">
        <f t="shared" si="3"/>
        <v>2092.333333</v>
      </c>
    </row>
    <row r="173">
      <c r="A173" s="7">
        <v>39791.0</v>
      </c>
      <c r="B173" s="9">
        <v>2053.0</v>
      </c>
      <c r="C173">
        <f t="shared" si="2"/>
        <v>2134.571429</v>
      </c>
      <c r="D173">
        <f t="shared" si="1"/>
        <v>2154.333333</v>
      </c>
      <c r="E173">
        <f t="shared" si="3"/>
        <v>2096.761905</v>
      </c>
    </row>
    <row r="174">
      <c r="A174" s="7">
        <v>39792.0</v>
      </c>
      <c r="B174" s="9">
        <v>2376.0</v>
      </c>
      <c r="C174">
        <f t="shared" si="2"/>
        <v>2102.428571</v>
      </c>
      <c r="D174">
        <f t="shared" si="1"/>
        <v>2234</v>
      </c>
      <c r="E174">
        <f t="shared" si="3"/>
        <v>2128.047619</v>
      </c>
    </row>
    <row r="175">
      <c r="A175" s="7">
        <v>39793.0</v>
      </c>
      <c r="B175" s="9">
        <v>2273.0</v>
      </c>
      <c r="C175">
        <f t="shared" si="2"/>
        <v>2060.285714</v>
      </c>
      <c r="D175">
        <f t="shared" si="1"/>
        <v>2216</v>
      </c>
      <c r="E175">
        <f t="shared" si="3"/>
        <v>2124.47619</v>
      </c>
    </row>
    <row r="176">
      <c r="A176" s="7">
        <v>39794.0</v>
      </c>
      <c r="B176" s="9">
        <v>1999.0</v>
      </c>
      <c r="C176">
        <f t="shared" si="2"/>
        <v>2078.571429</v>
      </c>
      <c r="D176">
        <f t="shared" si="1"/>
        <v>2034.333333</v>
      </c>
      <c r="E176">
        <f t="shared" si="3"/>
        <v>2129.809524</v>
      </c>
    </row>
    <row r="177">
      <c r="A177" s="7">
        <v>39795.0</v>
      </c>
      <c r="B177" s="9">
        <v>1831.0</v>
      </c>
      <c r="C177">
        <f t="shared" si="2"/>
        <v>2120.857143</v>
      </c>
      <c r="D177">
        <f t="shared" si="1"/>
        <v>1895.333333</v>
      </c>
      <c r="E177">
        <f t="shared" si="3"/>
        <v>2138.714286</v>
      </c>
    </row>
    <row r="178">
      <c r="A178" s="7">
        <v>39796.0</v>
      </c>
      <c r="B178" s="9">
        <v>1856.0</v>
      </c>
      <c r="C178">
        <f t="shared" si="2"/>
        <v>2113.142857</v>
      </c>
      <c r="D178">
        <f t="shared" si="1"/>
        <v>1949.666667</v>
      </c>
      <c r="E178">
        <f t="shared" si="3"/>
        <v>2143.619048</v>
      </c>
    </row>
    <row r="179">
      <c r="A179" s="7">
        <v>39797.0</v>
      </c>
      <c r="B179" s="9">
        <v>2162.0</v>
      </c>
      <c r="C179">
        <f t="shared" si="2"/>
        <v>2123.714286</v>
      </c>
      <c r="D179">
        <f t="shared" si="1"/>
        <v>2122.333333</v>
      </c>
      <c r="E179">
        <f t="shared" si="3"/>
        <v>2177.047619</v>
      </c>
    </row>
    <row r="180">
      <c r="A180" s="7">
        <v>39798.0</v>
      </c>
      <c r="B180" s="9">
        <v>2349.0</v>
      </c>
      <c r="C180">
        <f t="shared" si="2"/>
        <v>2160.285714</v>
      </c>
      <c r="D180">
        <f t="shared" si="1"/>
        <v>2277.666667</v>
      </c>
      <c r="E180">
        <f t="shared" si="3"/>
        <v>2167.333333</v>
      </c>
    </row>
    <row r="181">
      <c r="A181" s="7">
        <v>39799.0</v>
      </c>
      <c r="B181" s="9">
        <v>2322.0</v>
      </c>
      <c r="C181">
        <f t="shared" si="2"/>
        <v>2248.857143</v>
      </c>
      <c r="D181">
        <f t="shared" si="1"/>
        <v>2339.333333</v>
      </c>
      <c r="E181">
        <f t="shared" si="3"/>
        <v>2170.238095</v>
      </c>
    </row>
    <row r="182">
      <c r="A182" s="7">
        <v>39800.0</v>
      </c>
      <c r="B182" s="9">
        <v>2347.0</v>
      </c>
      <c r="C182">
        <f t="shared" si="2"/>
        <v>2296.714286</v>
      </c>
      <c r="D182">
        <f t="shared" si="1"/>
        <v>2308</v>
      </c>
      <c r="E182">
        <f t="shared" si="3"/>
        <v>2161.761905</v>
      </c>
    </row>
    <row r="183">
      <c r="A183" s="7">
        <v>39801.0</v>
      </c>
      <c r="B183" s="9">
        <v>2255.0</v>
      </c>
      <c r="C183">
        <f t="shared" si="2"/>
        <v>2283.571429</v>
      </c>
      <c r="D183">
        <f t="shared" si="1"/>
        <v>2351</v>
      </c>
      <c r="E183">
        <f t="shared" si="3"/>
        <v>2165.714286</v>
      </c>
    </row>
    <row r="184">
      <c r="A184" s="7">
        <v>39802.0</v>
      </c>
      <c r="B184" s="9">
        <v>2451.0</v>
      </c>
      <c r="C184">
        <f t="shared" si="2"/>
        <v>2244.428571</v>
      </c>
      <c r="D184">
        <f t="shared" si="1"/>
        <v>2299</v>
      </c>
      <c r="E184">
        <f t="shared" si="3"/>
        <v>2183.714286</v>
      </c>
    </row>
    <row r="185">
      <c r="A185" s="7">
        <v>39803.0</v>
      </c>
      <c r="B185" s="9">
        <v>2191.0</v>
      </c>
      <c r="C185">
        <f t="shared" si="2"/>
        <v>2222.142857</v>
      </c>
      <c r="D185">
        <f t="shared" si="1"/>
        <v>2237.333333</v>
      </c>
      <c r="E185">
        <f t="shared" si="3"/>
        <v>2177.142857</v>
      </c>
    </row>
    <row r="186">
      <c r="A186" s="7">
        <v>39804.0</v>
      </c>
      <c r="B186" s="9">
        <v>2070.0</v>
      </c>
      <c r="C186">
        <f t="shared" si="2"/>
        <v>2240.857143</v>
      </c>
      <c r="D186">
        <f t="shared" si="1"/>
        <v>2112</v>
      </c>
      <c r="E186">
        <f t="shared" si="3"/>
        <v>2160.428571</v>
      </c>
    </row>
    <row r="187">
      <c r="A187" s="7">
        <v>39805.0</v>
      </c>
      <c r="B187" s="9">
        <v>2075.0</v>
      </c>
      <c r="C187">
        <f t="shared" si="2"/>
        <v>2207.142857</v>
      </c>
      <c r="D187">
        <f t="shared" si="1"/>
        <v>2103.666667</v>
      </c>
      <c r="E187">
        <f t="shared" si="3"/>
        <v>2175.52381</v>
      </c>
    </row>
    <row r="188">
      <c r="A188" s="7">
        <v>39806.0</v>
      </c>
      <c r="B188" s="9">
        <v>2166.0</v>
      </c>
      <c r="C188">
        <f t="shared" si="2"/>
        <v>2159.428571</v>
      </c>
      <c r="D188">
        <f t="shared" si="1"/>
        <v>2239.666667</v>
      </c>
      <c r="E188">
        <f t="shared" si="3"/>
        <v>2209.571429</v>
      </c>
    </row>
    <row r="189">
      <c r="A189" s="7">
        <v>39807.0</v>
      </c>
      <c r="B189" s="9">
        <v>2478.0</v>
      </c>
      <c r="C189">
        <f t="shared" si="2"/>
        <v>2128.285714</v>
      </c>
      <c r="D189">
        <f t="shared" si="1"/>
        <v>2221</v>
      </c>
      <c r="E189">
        <f t="shared" si="3"/>
        <v>2232.380952</v>
      </c>
    </row>
    <row r="190">
      <c r="A190" s="7">
        <v>39808.0</v>
      </c>
      <c r="B190" s="9">
        <v>2019.0</v>
      </c>
      <c r="C190">
        <f t="shared" si="2"/>
        <v>2135</v>
      </c>
      <c r="D190">
        <f t="shared" si="1"/>
        <v>2204.666667</v>
      </c>
      <c r="E190">
        <f t="shared" si="3"/>
        <v>2248.857143</v>
      </c>
    </row>
    <row r="191">
      <c r="A191" s="7">
        <v>39809.0</v>
      </c>
      <c r="B191" s="9">
        <v>2117.0</v>
      </c>
      <c r="C191">
        <f t="shared" si="2"/>
        <v>2185.857143</v>
      </c>
      <c r="D191">
        <f t="shared" si="1"/>
        <v>2036.333333</v>
      </c>
      <c r="E191">
        <f t="shared" si="3"/>
        <v>2245.285714</v>
      </c>
    </row>
    <row r="192">
      <c r="A192" s="7">
        <v>39810.0</v>
      </c>
      <c r="B192" s="9">
        <v>1973.0</v>
      </c>
      <c r="C192">
        <f t="shared" si="2"/>
        <v>2196.142857</v>
      </c>
      <c r="D192">
        <f t="shared" si="1"/>
        <v>2069</v>
      </c>
      <c r="E192">
        <f t="shared" si="3"/>
        <v>2236.142857</v>
      </c>
    </row>
    <row r="193">
      <c r="A193" s="7">
        <v>39811.0</v>
      </c>
      <c r="B193" s="9">
        <v>2117.0</v>
      </c>
      <c r="C193">
        <f t="shared" si="2"/>
        <v>2116.714286</v>
      </c>
      <c r="D193">
        <f t="shared" si="1"/>
        <v>2173.666667</v>
      </c>
      <c r="E193">
        <f t="shared" si="3"/>
        <v>2231.190476</v>
      </c>
    </row>
    <row r="194">
      <c r="A194" s="7">
        <v>39812.0</v>
      </c>
      <c r="B194" s="9">
        <v>2431.0</v>
      </c>
      <c r="C194">
        <f t="shared" si="2"/>
        <v>2159.142857</v>
      </c>
      <c r="D194">
        <f t="shared" si="1"/>
        <v>2262</v>
      </c>
      <c r="E194">
        <f t="shared" si="3"/>
        <v>2232.333333</v>
      </c>
    </row>
    <row r="195">
      <c r="A195" s="7">
        <v>39813.0</v>
      </c>
      <c r="B195" s="9">
        <v>2238.0</v>
      </c>
      <c r="C195">
        <f t="shared" si="2"/>
        <v>2220.428571</v>
      </c>
      <c r="D195">
        <f t="shared" si="1"/>
        <v>2197</v>
      </c>
      <c r="E195">
        <f t="shared" si="3"/>
        <v>2204.47619</v>
      </c>
    </row>
    <row r="196">
      <c r="A196" s="7">
        <v>39814.0</v>
      </c>
      <c r="B196" s="9">
        <v>1922.0</v>
      </c>
      <c r="C196">
        <f t="shared" si="2"/>
        <v>2272.142857</v>
      </c>
      <c r="D196">
        <f t="shared" si="1"/>
        <v>2158.666667</v>
      </c>
      <c r="E196">
        <f t="shared" si="3"/>
        <v>2213.52381</v>
      </c>
    </row>
    <row r="197">
      <c r="A197" s="7">
        <v>39815.0</v>
      </c>
      <c r="B197" s="9">
        <v>2316.0</v>
      </c>
      <c r="C197">
        <f t="shared" si="2"/>
        <v>2328</v>
      </c>
      <c r="D197">
        <f t="shared" si="1"/>
        <v>2261.333333</v>
      </c>
      <c r="E197">
        <f t="shared" si="3"/>
        <v>2225.238095</v>
      </c>
    </row>
    <row r="198">
      <c r="A198" s="7">
        <v>39816.0</v>
      </c>
      <c r="B198" s="9">
        <v>2546.0</v>
      </c>
      <c r="C198">
        <f t="shared" si="2"/>
        <v>2305.571429</v>
      </c>
      <c r="D198">
        <f t="shared" si="1"/>
        <v>2399</v>
      </c>
      <c r="E198">
        <f t="shared" si="3"/>
        <v>2234.285714</v>
      </c>
    </row>
    <row r="199">
      <c r="A199" s="7">
        <v>39817.0</v>
      </c>
      <c r="B199" s="9">
        <v>2335.0</v>
      </c>
      <c r="C199">
        <f t="shared" si="2"/>
        <v>2290.142857</v>
      </c>
      <c r="D199">
        <f t="shared" si="1"/>
        <v>2463</v>
      </c>
      <c r="E199">
        <f t="shared" si="3"/>
        <v>2229.285714</v>
      </c>
    </row>
    <row r="200">
      <c r="A200" s="7">
        <v>39818.0</v>
      </c>
      <c r="B200" s="9">
        <v>2508.0</v>
      </c>
      <c r="C200">
        <f t="shared" si="2"/>
        <v>2336</v>
      </c>
      <c r="D200">
        <f t="shared" si="1"/>
        <v>2372.333333</v>
      </c>
      <c r="E200">
        <f t="shared" si="3"/>
        <v>2221.190476</v>
      </c>
    </row>
    <row r="201">
      <c r="A201" s="7">
        <v>39819.0</v>
      </c>
      <c r="B201" s="9">
        <v>2274.0</v>
      </c>
      <c r="C201">
        <f t="shared" si="2"/>
        <v>2330.714286</v>
      </c>
      <c r="D201">
        <f t="shared" si="1"/>
        <v>2304</v>
      </c>
      <c r="E201">
        <f t="shared" si="3"/>
        <v>2240.285714</v>
      </c>
    </row>
    <row r="202">
      <c r="A202" s="7">
        <v>39820.0</v>
      </c>
      <c r="B202" s="9">
        <v>2130.0</v>
      </c>
      <c r="C202">
        <f t="shared" si="2"/>
        <v>2233.571429</v>
      </c>
      <c r="D202">
        <f t="shared" si="1"/>
        <v>2215.666667</v>
      </c>
      <c r="E202">
        <f t="shared" si="3"/>
        <v>2245.571429</v>
      </c>
    </row>
    <row r="203">
      <c r="A203" s="7">
        <v>39821.0</v>
      </c>
      <c r="B203" s="9">
        <v>2243.0</v>
      </c>
      <c r="C203">
        <f t="shared" si="2"/>
        <v>2240.142857</v>
      </c>
      <c r="D203">
        <f t="shared" si="1"/>
        <v>2217.333333</v>
      </c>
      <c r="E203">
        <f t="shared" si="3"/>
        <v>2256.52381</v>
      </c>
    </row>
    <row r="204">
      <c r="A204" s="7">
        <v>39822.0</v>
      </c>
      <c r="B204" s="9">
        <v>2279.0</v>
      </c>
      <c r="C204">
        <f t="shared" si="2"/>
        <v>2212.714286</v>
      </c>
      <c r="D204">
        <f t="shared" si="1"/>
        <v>2129.333333</v>
      </c>
      <c r="E204">
        <f t="shared" si="3"/>
        <v>2274.095238</v>
      </c>
    </row>
    <row r="205">
      <c r="A205" s="7">
        <v>39823.0</v>
      </c>
      <c r="B205" s="9">
        <v>1866.0</v>
      </c>
      <c r="C205">
        <f t="shared" si="2"/>
        <v>2211.428571</v>
      </c>
      <c r="D205">
        <f t="shared" si="1"/>
        <v>2175.333333</v>
      </c>
      <c r="E205">
        <f t="shared" si="3"/>
        <v>2263.809524</v>
      </c>
    </row>
    <row r="206">
      <c r="A206" s="7">
        <v>39824.0</v>
      </c>
      <c r="B206" s="9">
        <v>2381.0</v>
      </c>
      <c r="C206">
        <f t="shared" si="2"/>
        <v>2201.571429</v>
      </c>
      <c r="D206">
        <f t="shared" si="1"/>
        <v>2187.666667</v>
      </c>
      <c r="E206">
        <f t="shared" si="3"/>
        <v>2263.857143</v>
      </c>
    </row>
    <row r="207">
      <c r="A207" s="7">
        <v>39825.0</v>
      </c>
      <c r="B207" s="9">
        <v>2316.0</v>
      </c>
      <c r="C207">
        <f t="shared" si="2"/>
        <v>2210.857143</v>
      </c>
      <c r="D207">
        <f t="shared" si="1"/>
        <v>2320.666667</v>
      </c>
      <c r="E207">
        <f t="shared" si="3"/>
        <v>2278.238095</v>
      </c>
    </row>
    <row r="208">
      <c r="A208" s="7">
        <v>39826.0</v>
      </c>
      <c r="B208" s="9">
        <v>2265.0</v>
      </c>
      <c r="C208">
        <f t="shared" si="2"/>
        <v>2231</v>
      </c>
      <c r="D208">
        <f t="shared" si="1"/>
        <v>2214</v>
      </c>
      <c r="E208">
        <f t="shared" si="3"/>
        <v>2285.428571</v>
      </c>
    </row>
    <row r="209">
      <c r="A209" s="7">
        <v>39827.0</v>
      </c>
      <c r="B209" s="9">
        <v>2061.0</v>
      </c>
      <c r="C209">
        <f t="shared" si="2"/>
        <v>2282.714286</v>
      </c>
      <c r="D209">
        <f t="shared" si="1"/>
        <v>2211.333333</v>
      </c>
      <c r="E209">
        <f t="shared" si="3"/>
        <v>2266.571429</v>
      </c>
    </row>
    <row r="210">
      <c r="A210" s="7">
        <v>39828.0</v>
      </c>
      <c r="B210" s="9">
        <v>2308.0</v>
      </c>
      <c r="C210">
        <f t="shared" si="2"/>
        <v>2257.285714</v>
      </c>
      <c r="D210">
        <f t="shared" si="1"/>
        <v>2263</v>
      </c>
      <c r="E210">
        <f t="shared" si="3"/>
        <v>2260.238095</v>
      </c>
    </row>
    <row r="211">
      <c r="A211" s="7">
        <v>39829.0</v>
      </c>
      <c r="B211" s="9">
        <v>2420.0</v>
      </c>
      <c r="C211">
        <f t="shared" si="2"/>
        <v>2281.571429</v>
      </c>
      <c r="D211">
        <f t="shared" si="1"/>
        <v>2318.666667</v>
      </c>
      <c r="E211">
        <f t="shared" si="3"/>
        <v>2248.52381</v>
      </c>
    </row>
    <row r="212">
      <c r="A212" s="7">
        <v>39830.0</v>
      </c>
      <c r="B212" s="9">
        <v>2228.0</v>
      </c>
      <c r="C212">
        <f t="shared" si="2"/>
        <v>2274.428571</v>
      </c>
      <c r="D212">
        <f t="shared" si="1"/>
        <v>2283.666667</v>
      </c>
      <c r="E212">
        <f t="shared" si="3"/>
        <v>2256.904762</v>
      </c>
    </row>
    <row r="213">
      <c r="A213" s="7">
        <v>39831.0</v>
      </c>
      <c r="B213" s="9">
        <v>2203.0</v>
      </c>
      <c r="C213">
        <f t="shared" si="2"/>
        <v>2299.857143</v>
      </c>
      <c r="D213">
        <f t="shared" si="1"/>
        <v>2305.666667</v>
      </c>
      <c r="E213">
        <f t="shared" si="3"/>
        <v>2264.047619</v>
      </c>
    </row>
    <row r="214">
      <c r="A214" s="7">
        <v>39832.0</v>
      </c>
      <c r="B214" s="9">
        <v>2486.0</v>
      </c>
      <c r="C214">
        <f t="shared" si="2"/>
        <v>2287.857143</v>
      </c>
      <c r="D214">
        <f t="shared" si="1"/>
        <v>2301.333333</v>
      </c>
      <c r="E214">
        <f t="shared" si="3"/>
        <v>2251.714286</v>
      </c>
    </row>
    <row r="215">
      <c r="A215" s="7">
        <v>39833.0</v>
      </c>
      <c r="B215" s="9">
        <v>2215.0</v>
      </c>
      <c r="C215">
        <f t="shared" si="2"/>
        <v>2294.571429</v>
      </c>
      <c r="D215">
        <f t="shared" si="1"/>
        <v>2313.333333</v>
      </c>
      <c r="E215">
        <f t="shared" si="3"/>
        <v>2255.52381</v>
      </c>
    </row>
    <row r="216">
      <c r="A216" s="7">
        <v>39834.0</v>
      </c>
      <c r="B216" s="9">
        <v>2239.0</v>
      </c>
      <c r="C216">
        <f t="shared" si="2"/>
        <v>2283.428571</v>
      </c>
      <c r="D216">
        <f t="shared" si="1"/>
        <v>2226</v>
      </c>
      <c r="E216">
        <f t="shared" si="3"/>
        <v>2261.857143</v>
      </c>
    </row>
    <row r="217">
      <c r="A217" s="7">
        <v>39835.0</v>
      </c>
      <c r="B217" s="9">
        <v>2224.0</v>
      </c>
      <c r="C217">
        <f t="shared" si="2"/>
        <v>2283.285714</v>
      </c>
      <c r="D217">
        <f t="shared" si="1"/>
        <v>2310</v>
      </c>
      <c r="E217">
        <f t="shared" si="3"/>
        <v>2259.047619</v>
      </c>
    </row>
    <row r="218">
      <c r="A218" s="7">
        <v>39836.0</v>
      </c>
      <c r="B218" s="9">
        <v>2467.0</v>
      </c>
      <c r="C218">
        <f t="shared" si="2"/>
        <v>2251.285714</v>
      </c>
      <c r="D218">
        <f t="shared" si="1"/>
        <v>2280.333333</v>
      </c>
      <c r="E218">
        <f t="shared" si="3"/>
        <v>2256.285714</v>
      </c>
    </row>
    <row r="219">
      <c r="A219" s="7">
        <v>39837.0</v>
      </c>
      <c r="B219" s="9">
        <v>2150.0</v>
      </c>
      <c r="C219">
        <f t="shared" si="2"/>
        <v>2284.857143</v>
      </c>
      <c r="D219">
        <f t="shared" si="1"/>
        <v>2273</v>
      </c>
      <c r="E219">
        <f t="shared" si="3"/>
        <v>2274.380952</v>
      </c>
    </row>
    <row r="220">
      <c r="A220" s="7">
        <v>39838.0</v>
      </c>
      <c r="B220" s="9">
        <v>2202.0</v>
      </c>
      <c r="C220">
        <f t="shared" si="2"/>
        <v>2290.714286</v>
      </c>
      <c r="D220">
        <f t="shared" si="1"/>
        <v>2204.666667</v>
      </c>
      <c r="E220">
        <f t="shared" si="3"/>
        <v>2277.428571</v>
      </c>
    </row>
    <row r="221">
      <c r="A221" s="7">
        <v>39839.0</v>
      </c>
      <c r="B221" s="9">
        <v>2262.0</v>
      </c>
      <c r="C221">
        <f t="shared" si="2"/>
        <v>2256.428571</v>
      </c>
      <c r="D221">
        <f t="shared" si="1"/>
        <v>2304.666667</v>
      </c>
      <c r="E221">
        <f t="shared" si="3"/>
        <v>2279.904762</v>
      </c>
    </row>
    <row r="222">
      <c r="A222" s="7">
        <v>39840.0</v>
      </c>
      <c r="B222" s="9">
        <v>2450.0</v>
      </c>
      <c r="C222">
        <f t="shared" si="2"/>
        <v>2241</v>
      </c>
      <c r="D222">
        <f t="shared" si="1"/>
        <v>2330.666667</v>
      </c>
      <c r="E222">
        <f t="shared" si="3"/>
        <v>2288.190476</v>
      </c>
    </row>
    <row r="223">
      <c r="A223" s="7">
        <v>39841.0</v>
      </c>
      <c r="B223" s="9">
        <v>2280.0</v>
      </c>
      <c r="C223">
        <f t="shared" si="2"/>
        <v>2219.428571</v>
      </c>
      <c r="D223">
        <f t="shared" si="1"/>
        <v>2238</v>
      </c>
      <c r="E223">
        <f t="shared" si="3"/>
        <v>2304.428571</v>
      </c>
    </row>
    <row r="224">
      <c r="A224" s="7">
        <v>39842.0</v>
      </c>
      <c r="B224" s="9">
        <v>1984.0</v>
      </c>
      <c r="C224">
        <f t="shared" si="2"/>
        <v>2236.571429</v>
      </c>
      <c r="D224">
        <f t="shared" si="1"/>
        <v>2207.666667</v>
      </c>
      <c r="E224">
        <f t="shared" si="3"/>
        <v>2300.47619</v>
      </c>
    </row>
    <row r="225">
      <c r="A225" s="7">
        <v>39843.0</v>
      </c>
      <c r="B225" s="9">
        <v>2359.0</v>
      </c>
      <c r="C225">
        <f t="shared" si="2"/>
        <v>2236</v>
      </c>
      <c r="D225">
        <f t="shared" si="1"/>
        <v>2114</v>
      </c>
      <c r="E225">
        <f t="shared" si="3"/>
        <v>2288.857143</v>
      </c>
    </row>
    <row r="226">
      <c r="A226" s="7">
        <v>39844.0</v>
      </c>
      <c r="B226" s="9">
        <v>1999.0</v>
      </c>
      <c r="C226">
        <f t="shared" si="2"/>
        <v>2263.857143</v>
      </c>
      <c r="D226">
        <f t="shared" si="1"/>
        <v>2226.666667</v>
      </c>
      <c r="E226">
        <f t="shared" si="3"/>
        <v>2281.857143</v>
      </c>
    </row>
    <row r="227">
      <c r="A227" s="7">
        <v>39845.0</v>
      </c>
      <c r="B227" s="9">
        <v>2322.0</v>
      </c>
      <c r="C227">
        <f t="shared" si="2"/>
        <v>2241.714286</v>
      </c>
      <c r="D227">
        <f t="shared" si="1"/>
        <v>2193</v>
      </c>
      <c r="E227">
        <f t="shared" si="3"/>
        <v>2274.571429</v>
      </c>
    </row>
    <row r="228">
      <c r="A228" s="7">
        <v>39846.0</v>
      </c>
      <c r="B228" s="9">
        <v>2258.0</v>
      </c>
      <c r="C228">
        <f t="shared" si="2"/>
        <v>2295.428571</v>
      </c>
      <c r="D228">
        <f t="shared" si="1"/>
        <v>2408.333333</v>
      </c>
      <c r="E228">
        <f t="shared" si="3"/>
        <v>2271.809524</v>
      </c>
    </row>
    <row r="229">
      <c r="A229" s="7">
        <v>39847.0</v>
      </c>
      <c r="B229" s="9">
        <v>2645.0</v>
      </c>
      <c r="C229">
        <f t="shared" si="2"/>
        <v>2329</v>
      </c>
      <c r="D229">
        <f t="shared" si="1"/>
        <v>2342.666667</v>
      </c>
      <c r="E229">
        <f t="shared" si="3"/>
        <v>2248.190476</v>
      </c>
    </row>
    <row r="230">
      <c r="A230" s="7">
        <v>39848.0</v>
      </c>
      <c r="B230" s="9">
        <v>2125.0</v>
      </c>
      <c r="C230">
        <f t="shared" si="2"/>
        <v>2410.428571</v>
      </c>
      <c r="D230">
        <f t="shared" si="1"/>
        <v>2376.666667</v>
      </c>
      <c r="E230">
        <f t="shared" si="3"/>
        <v>2264.571429</v>
      </c>
    </row>
    <row r="231">
      <c r="A231" s="7">
        <v>39849.0</v>
      </c>
      <c r="B231" s="9">
        <v>2360.0</v>
      </c>
      <c r="C231">
        <f t="shared" si="2"/>
        <v>2381.571429</v>
      </c>
      <c r="D231">
        <f t="shared" si="1"/>
        <v>2359.666667</v>
      </c>
      <c r="E231">
        <f t="shared" si="3"/>
        <v>2263.285714</v>
      </c>
    </row>
    <row r="232">
      <c r="A232" s="7">
        <v>39850.0</v>
      </c>
      <c r="B232" s="9">
        <v>2594.0</v>
      </c>
      <c r="C232">
        <f t="shared" si="2"/>
        <v>2379.285714</v>
      </c>
      <c r="D232">
        <f t="shared" si="1"/>
        <v>2507.666667</v>
      </c>
      <c r="E232">
        <f t="shared" si="3"/>
        <v>2251.047619</v>
      </c>
    </row>
    <row r="233">
      <c r="A233" s="7">
        <v>39851.0</v>
      </c>
      <c r="B233" s="9">
        <v>2569.0</v>
      </c>
      <c r="C233">
        <f t="shared" si="2"/>
        <v>2296.857143</v>
      </c>
      <c r="D233">
        <f t="shared" si="1"/>
        <v>2427.666667</v>
      </c>
      <c r="E233">
        <f t="shared" si="3"/>
        <v>2252.761905</v>
      </c>
    </row>
    <row r="234">
      <c r="A234" s="7">
        <v>39852.0</v>
      </c>
      <c r="B234" s="9">
        <v>2120.0</v>
      </c>
      <c r="C234">
        <f t="shared" si="2"/>
        <v>2291.285714</v>
      </c>
      <c r="D234">
        <f t="shared" si="1"/>
        <v>2310.333333</v>
      </c>
      <c r="E234">
        <f t="shared" si="3"/>
        <v>2257.809524</v>
      </c>
    </row>
    <row r="235">
      <c r="A235" s="7">
        <v>39853.0</v>
      </c>
      <c r="B235" s="9">
        <v>2242.0</v>
      </c>
      <c r="C235">
        <f t="shared" si="2"/>
        <v>2263.571429</v>
      </c>
      <c r="D235">
        <f t="shared" si="1"/>
        <v>2143.333333</v>
      </c>
      <c r="E235">
        <f t="shared" si="3"/>
        <v>2256</v>
      </c>
    </row>
    <row r="236">
      <c r="A236" s="7">
        <v>39854.0</v>
      </c>
      <c r="B236" s="9">
        <v>2068.0</v>
      </c>
      <c r="C236">
        <f t="shared" si="2"/>
        <v>2174.571429</v>
      </c>
      <c r="D236">
        <f t="shared" si="1"/>
        <v>2132</v>
      </c>
      <c r="E236">
        <f t="shared" si="3"/>
        <v>2250.52381</v>
      </c>
    </row>
    <row r="237">
      <c r="A237" s="7">
        <v>39855.0</v>
      </c>
      <c r="B237" s="9">
        <v>2086.0</v>
      </c>
      <c r="C237">
        <f t="shared" si="2"/>
        <v>2163.857143</v>
      </c>
      <c r="D237">
        <f t="shared" si="1"/>
        <v>2106.666667</v>
      </c>
      <c r="E237">
        <f t="shared" si="3"/>
        <v>2246.380952</v>
      </c>
    </row>
    <row r="238">
      <c r="A238" s="7">
        <v>39856.0</v>
      </c>
      <c r="B238" s="9">
        <v>2166.0</v>
      </c>
      <c r="C238">
        <f t="shared" si="2"/>
        <v>2171.714286</v>
      </c>
      <c r="D238">
        <f t="shared" si="1"/>
        <v>2074.333333</v>
      </c>
      <c r="E238">
        <f t="shared" si="3"/>
        <v>2248.761905</v>
      </c>
    </row>
    <row r="239">
      <c r="A239" s="7">
        <v>39857.0</v>
      </c>
      <c r="B239" s="9">
        <v>1971.0</v>
      </c>
      <c r="C239">
        <f t="shared" si="2"/>
        <v>2137.857143</v>
      </c>
      <c r="D239">
        <f t="shared" si="1"/>
        <v>2210.333333</v>
      </c>
      <c r="E239">
        <f t="shared" si="3"/>
        <v>2249.380952</v>
      </c>
    </row>
    <row r="240">
      <c r="A240" s="7">
        <v>39858.0</v>
      </c>
      <c r="B240" s="9">
        <v>2494.0</v>
      </c>
      <c r="C240">
        <f t="shared" si="2"/>
        <v>2197.571429</v>
      </c>
      <c r="D240">
        <f t="shared" si="1"/>
        <v>2213.333333</v>
      </c>
      <c r="E240">
        <f t="shared" si="3"/>
        <v>2221.428571</v>
      </c>
    </row>
    <row r="241">
      <c r="A241" s="7">
        <v>39859.0</v>
      </c>
      <c r="B241" s="9">
        <v>2175.0</v>
      </c>
      <c r="C241">
        <f t="shared" si="2"/>
        <v>2240.428571</v>
      </c>
      <c r="D241">
        <f t="shared" si="1"/>
        <v>2224.666667</v>
      </c>
      <c r="E241">
        <f t="shared" si="3"/>
        <v>2239.285714</v>
      </c>
    </row>
    <row r="242">
      <c r="A242" s="7">
        <v>39860.0</v>
      </c>
      <c r="B242" s="9">
        <v>2005.0</v>
      </c>
      <c r="C242">
        <f t="shared" si="2"/>
        <v>2209</v>
      </c>
      <c r="D242">
        <f t="shared" si="1"/>
        <v>2222</v>
      </c>
      <c r="E242">
        <f t="shared" si="3"/>
        <v>2225.52381</v>
      </c>
    </row>
    <row r="243">
      <c r="A243" s="7">
        <v>39861.0</v>
      </c>
      <c r="B243" s="9">
        <v>2486.0</v>
      </c>
      <c r="C243">
        <f t="shared" si="2"/>
        <v>2248</v>
      </c>
      <c r="D243">
        <f t="shared" si="1"/>
        <v>2292.333333</v>
      </c>
      <c r="E243">
        <f t="shared" si="3"/>
        <v>2204.428571</v>
      </c>
    </row>
    <row r="244">
      <c r="A244" s="7">
        <v>39862.0</v>
      </c>
      <c r="B244" s="9">
        <v>2386.0</v>
      </c>
      <c r="C244">
        <f t="shared" si="2"/>
        <v>2164.857143</v>
      </c>
      <c r="D244">
        <f t="shared" si="1"/>
        <v>2272.666667</v>
      </c>
      <c r="E244">
        <f t="shared" si="3"/>
        <v>2187.333333</v>
      </c>
    </row>
    <row r="245">
      <c r="A245" s="7">
        <v>39863.0</v>
      </c>
      <c r="B245" s="9">
        <v>1946.0</v>
      </c>
      <c r="C245">
        <f t="shared" si="2"/>
        <v>2193</v>
      </c>
      <c r="D245">
        <f t="shared" si="1"/>
        <v>2192</v>
      </c>
      <c r="E245">
        <f t="shared" si="3"/>
        <v>2174.333333</v>
      </c>
    </row>
    <row r="246">
      <c r="A246" s="7">
        <v>39864.0</v>
      </c>
      <c r="B246" s="9">
        <v>2244.0</v>
      </c>
      <c r="C246">
        <f t="shared" si="2"/>
        <v>2231</v>
      </c>
      <c r="D246">
        <f t="shared" si="1"/>
        <v>2034</v>
      </c>
      <c r="E246">
        <f t="shared" si="3"/>
        <v>2164.904762</v>
      </c>
    </row>
    <row r="247">
      <c r="A247" s="7">
        <v>39865.0</v>
      </c>
      <c r="B247" s="9">
        <v>1912.0</v>
      </c>
      <c r="C247">
        <f t="shared" si="2"/>
        <v>2169.857143</v>
      </c>
      <c r="D247">
        <f t="shared" si="1"/>
        <v>2176</v>
      </c>
      <c r="E247">
        <f t="shared" si="3"/>
        <v>2188.428571</v>
      </c>
    </row>
    <row r="248">
      <c r="A248" s="7">
        <v>39866.0</v>
      </c>
      <c r="B248" s="9">
        <v>2372.0</v>
      </c>
      <c r="C248">
        <f t="shared" si="2"/>
        <v>2186.142857</v>
      </c>
      <c r="D248">
        <f t="shared" si="1"/>
        <v>2185</v>
      </c>
      <c r="E248">
        <f t="shared" si="3"/>
        <v>2186</v>
      </c>
    </row>
    <row r="249">
      <c r="A249" s="7">
        <v>39867.0</v>
      </c>
      <c r="B249" s="9">
        <v>2271.0</v>
      </c>
      <c r="C249">
        <f t="shared" si="2"/>
        <v>2204</v>
      </c>
      <c r="D249">
        <f t="shared" si="1"/>
        <v>2233.666667</v>
      </c>
      <c r="E249">
        <f t="shared" si="3"/>
        <v>2191.857143</v>
      </c>
    </row>
    <row r="250">
      <c r="A250" s="7">
        <v>39868.0</v>
      </c>
      <c r="B250" s="9">
        <v>2058.0</v>
      </c>
      <c r="C250">
        <f t="shared" si="2"/>
        <v>2190.714286</v>
      </c>
      <c r="D250">
        <f t="shared" si="1"/>
        <v>2276.333333</v>
      </c>
      <c r="E250">
        <f t="shared" si="3"/>
        <v>2219.809524</v>
      </c>
    </row>
    <row r="251">
      <c r="A251" s="7">
        <v>39869.0</v>
      </c>
      <c r="B251" s="9">
        <v>2500.0</v>
      </c>
      <c r="C251">
        <f t="shared" si="2"/>
        <v>2233.285714</v>
      </c>
      <c r="D251">
        <f t="shared" si="1"/>
        <v>2209.666667</v>
      </c>
      <c r="E251">
        <f t="shared" si="3"/>
        <v>2198.238095</v>
      </c>
    </row>
    <row r="252">
      <c r="A252" s="7">
        <v>39870.0</v>
      </c>
      <c r="B252" s="9">
        <v>2071.0</v>
      </c>
      <c r="C252">
        <f t="shared" si="2"/>
        <v>2158.285714</v>
      </c>
      <c r="D252">
        <f t="shared" si="1"/>
        <v>2240.666667</v>
      </c>
      <c r="E252">
        <f t="shared" si="3"/>
        <v>2204.952381</v>
      </c>
    </row>
    <row r="253">
      <c r="A253" s="7">
        <v>39871.0</v>
      </c>
      <c r="B253" s="9">
        <v>2151.0</v>
      </c>
      <c r="C253">
        <f t="shared" si="2"/>
        <v>2125.857143</v>
      </c>
      <c r="D253">
        <f t="shared" si="1"/>
        <v>2144</v>
      </c>
      <c r="E253">
        <f t="shared" si="3"/>
        <v>2209.809524</v>
      </c>
    </row>
    <row r="254">
      <c r="A254" s="7">
        <v>39872.0</v>
      </c>
      <c r="B254" s="9">
        <v>2210.0</v>
      </c>
      <c r="C254">
        <f t="shared" si="2"/>
        <v>2197.857143</v>
      </c>
      <c r="D254">
        <f t="shared" si="1"/>
        <v>2069.333333</v>
      </c>
      <c r="E254">
        <f t="shared" si="3"/>
        <v>2185.571429</v>
      </c>
    </row>
    <row r="255">
      <c r="A255" s="7">
        <v>39873.0</v>
      </c>
      <c r="B255" s="9">
        <v>1847.0</v>
      </c>
      <c r="C255">
        <f t="shared" si="2"/>
        <v>2131.428571</v>
      </c>
      <c r="D255">
        <f t="shared" si="1"/>
        <v>2033.666667</v>
      </c>
      <c r="E255">
        <f t="shared" si="3"/>
        <v>2177.619048</v>
      </c>
    </row>
    <row r="256">
      <c r="A256" s="7">
        <v>39874.0</v>
      </c>
      <c r="B256" s="9">
        <v>2044.0</v>
      </c>
      <c r="C256">
        <f t="shared" si="2"/>
        <v>2162.571429</v>
      </c>
      <c r="D256">
        <f t="shared" si="1"/>
        <v>2151</v>
      </c>
      <c r="E256">
        <f t="shared" si="3"/>
        <v>2190.428571</v>
      </c>
    </row>
    <row r="257">
      <c r="A257" s="7">
        <v>39875.0</v>
      </c>
      <c r="B257" s="9">
        <v>2562.0</v>
      </c>
      <c r="C257">
        <f t="shared" si="2"/>
        <v>2220.714286</v>
      </c>
      <c r="D257">
        <f t="shared" si="1"/>
        <v>2213.666667</v>
      </c>
      <c r="E257">
        <f t="shared" si="3"/>
        <v>2184.619048</v>
      </c>
    </row>
    <row r="258">
      <c r="A258" s="7">
        <v>39876.0</v>
      </c>
      <c r="B258" s="9">
        <v>2035.0</v>
      </c>
      <c r="C258">
        <f t="shared" si="2"/>
        <v>2196.571429</v>
      </c>
      <c r="D258">
        <f t="shared" si="1"/>
        <v>2295.333333</v>
      </c>
      <c r="E258">
        <f t="shared" si="3"/>
        <v>2187.857143</v>
      </c>
    </row>
    <row r="259">
      <c r="A259" s="7">
        <v>39877.0</v>
      </c>
      <c r="B259" s="9">
        <v>2289.0</v>
      </c>
      <c r="C259">
        <f t="shared" si="2"/>
        <v>2263.571429</v>
      </c>
      <c r="D259">
        <f t="shared" si="1"/>
        <v>2294</v>
      </c>
      <c r="E259">
        <f t="shared" si="3"/>
        <v>2171.047619</v>
      </c>
    </row>
    <row r="260">
      <c r="A260" s="7">
        <v>39878.0</v>
      </c>
      <c r="B260" s="9">
        <v>2558.0</v>
      </c>
      <c r="C260">
        <f t="shared" si="2"/>
        <v>2272.571429</v>
      </c>
      <c r="D260">
        <f t="shared" si="1"/>
        <v>2296</v>
      </c>
      <c r="E260">
        <f t="shared" si="3"/>
        <v>2172.190476</v>
      </c>
    </row>
    <row r="261">
      <c r="A261" s="7">
        <v>39879.0</v>
      </c>
      <c r="B261" s="9">
        <v>2041.0</v>
      </c>
      <c r="C261">
        <f t="shared" si="2"/>
        <v>2189</v>
      </c>
      <c r="D261">
        <f t="shared" si="1"/>
        <v>2305</v>
      </c>
      <c r="E261">
        <f t="shared" si="3"/>
        <v>2188.333333</v>
      </c>
    </row>
    <row r="262">
      <c r="A262" s="7">
        <v>39880.0</v>
      </c>
      <c r="B262" s="9">
        <v>2316.0</v>
      </c>
      <c r="C262">
        <f t="shared" si="2"/>
        <v>2215.285714</v>
      </c>
      <c r="D262">
        <f t="shared" si="1"/>
        <v>2154.666667</v>
      </c>
      <c r="E262">
        <f t="shared" si="3"/>
        <v>2169.190476</v>
      </c>
    </row>
    <row r="263">
      <c r="A263" s="7">
        <v>39881.0</v>
      </c>
      <c r="B263" s="9">
        <v>2107.0</v>
      </c>
      <c r="C263">
        <f t="shared" si="2"/>
        <v>2204.714286</v>
      </c>
      <c r="D263">
        <f t="shared" si="1"/>
        <v>2133.333333</v>
      </c>
      <c r="E263">
        <f t="shared" si="3"/>
        <v>2160.238095</v>
      </c>
    </row>
    <row r="264">
      <c r="A264" s="7">
        <v>39882.0</v>
      </c>
      <c r="B264" s="9">
        <v>1977.0</v>
      </c>
      <c r="C264">
        <f t="shared" si="2"/>
        <v>2142.428571</v>
      </c>
      <c r="D264">
        <f t="shared" si="1"/>
        <v>2101</v>
      </c>
      <c r="E264">
        <f t="shared" si="3"/>
        <v>2158.380952</v>
      </c>
    </row>
    <row r="265">
      <c r="A265" s="7">
        <v>39883.0</v>
      </c>
      <c r="B265" s="9">
        <v>2219.0</v>
      </c>
      <c r="C265">
        <f t="shared" si="2"/>
        <v>2133.714286</v>
      </c>
      <c r="D265">
        <f t="shared" si="1"/>
        <v>2137</v>
      </c>
      <c r="E265">
        <f t="shared" si="3"/>
        <v>2145.571429</v>
      </c>
    </row>
    <row r="266">
      <c r="A266" s="7">
        <v>39884.0</v>
      </c>
      <c r="B266" s="9">
        <v>2215.0</v>
      </c>
      <c r="C266">
        <f t="shared" si="2"/>
        <v>2091.285714</v>
      </c>
      <c r="D266">
        <f t="shared" si="1"/>
        <v>2185.333333</v>
      </c>
      <c r="E266">
        <f t="shared" si="3"/>
        <v>2152.190476</v>
      </c>
    </row>
    <row r="267">
      <c r="A267" s="7">
        <v>39885.0</v>
      </c>
      <c r="B267" s="9">
        <v>2122.0</v>
      </c>
      <c r="C267">
        <f t="shared" si="2"/>
        <v>2118.142857</v>
      </c>
      <c r="D267">
        <f t="shared" si="1"/>
        <v>2105.666667</v>
      </c>
      <c r="E267">
        <f t="shared" si="3"/>
        <v>2163</v>
      </c>
    </row>
    <row r="268">
      <c r="A268" s="7">
        <v>39886.0</v>
      </c>
      <c r="B268" s="9">
        <v>1980.0</v>
      </c>
      <c r="C268">
        <f t="shared" si="2"/>
        <v>2178.142857</v>
      </c>
      <c r="D268">
        <f t="shared" si="1"/>
        <v>2040.333333</v>
      </c>
      <c r="E268">
        <f t="shared" si="3"/>
        <v>2154.238095</v>
      </c>
    </row>
    <row r="269">
      <c r="A269" s="7">
        <v>39887.0</v>
      </c>
      <c r="B269" s="9">
        <v>2019.0</v>
      </c>
      <c r="C269">
        <f t="shared" si="2"/>
        <v>2160.857143</v>
      </c>
      <c r="D269">
        <f t="shared" si="1"/>
        <v>2098</v>
      </c>
      <c r="E269">
        <f t="shared" si="3"/>
        <v>2157.761905</v>
      </c>
    </row>
    <row r="270">
      <c r="A270" s="7">
        <v>39888.0</v>
      </c>
      <c r="B270" s="9">
        <v>2295.0</v>
      </c>
      <c r="C270">
        <f t="shared" si="2"/>
        <v>2113.428571</v>
      </c>
      <c r="D270">
        <f t="shared" si="1"/>
        <v>2237</v>
      </c>
      <c r="E270">
        <f t="shared" si="3"/>
        <v>2163.761905</v>
      </c>
    </row>
    <row r="271">
      <c r="A271" s="7">
        <v>39889.0</v>
      </c>
      <c r="B271" s="9">
        <v>2397.0</v>
      </c>
      <c r="C271">
        <f t="shared" si="2"/>
        <v>2112</v>
      </c>
      <c r="D271">
        <f t="shared" si="1"/>
        <v>2263.333333</v>
      </c>
      <c r="E271">
        <f t="shared" si="3"/>
        <v>2132.238095</v>
      </c>
    </row>
    <row r="272">
      <c r="A272" s="7">
        <v>39890.0</v>
      </c>
      <c r="B272" s="9">
        <v>2098.0</v>
      </c>
      <c r="C272">
        <f t="shared" si="2"/>
        <v>2106.428571</v>
      </c>
      <c r="D272">
        <f t="shared" si="1"/>
        <v>2126</v>
      </c>
      <c r="E272">
        <f t="shared" si="3"/>
        <v>2126.142857</v>
      </c>
    </row>
    <row r="273">
      <c r="A273" s="7">
        <v>39891.0</v>
      </c>
      <c r="B273" s="9">
        <v>1883.0</v>
      </c>
      <c r="C273">
        <f t="shared" si="2"/>
        <v>2101.714286</v>
      </c>
      <c r="D273">
        <f t="shared" si="1"/>
        <v>2031</v>
      </c>
      <c r="E273">
        <f t="shared" si="3"/>
        <v>2130.52381</v>
      </c>
    </row>
    <row r="274">
      <c r="A274" s="7">
        <v>39892.0</v>
      </c>
      <c r="B274" s="9">
        <v>2112.0</v>
      </c>
      <c r="C274">
        <f t="shared" si="2"/>
        <v>2098.285714</v>
      </c>
      <c r="D274">
        <f t="shared" si="1"/>
        <v>1978.666667</v>
      </c>
      <c r="E274">
        <f t="shared" si="3"/>
        <v>2129.761905</v>
      </c>
    </row>
    <row r="275">
      <c r="A275" s="7">
        <v>39893.0</v>
      </c>
      <c r="B275" s="9">
        <v>1941.0</v>
      </c>
      <c r="C275">
        <f t="shared" si="2"/>
        <v>2095.571429</v>
      </c>
      <c r="D275">
        <f t="shared" si="1"/>
        <v>2013</v>
      </c>
      <c r="E275">
        <f t="shared" si="3"/>
        <v>2146.047619</v>
      </c>
    </row>
    <row r="276">
      <c r="A276" s="7">
        <v>39894.0</v>
      </c>
      <c r="B276" s="9">
        <v>1986.0</v>
      </c>
      <c r="C276">
        <f t="shared" si="2"/>
        <v>2097.142857</v>
      </c>
      <c r="D276">
        <f t="shared" si="1"/>
        <v>2066</v>
      </c>
      <c r="E276">
        <f t="shared" si="3"/>
        <v>2142.4</v>
      </c>
    </row>
    <row r="277">
      <c r="A277" s="7">
        <v>39895.0</v>
      </c>
      <c r="B277" s="9">
        <v>2271.0</v>
      </c>
      <c r="C277">
        <f t="shared" si="2"/>
        <v>2173.142857</v>
      </c>
      <c r="D277">
        <f t="shared" si="1"/>
        <v>2211.666667</v>
      </c>
      <c r="E277">
        <f t="shared" si="3"/>
        <v>2138.578947</v>
      </c>
    </row>
    <row r="278">
      <c r="A278" s="7">
        <v>39896.0</v>
      </c>
      <c r="B278" s="9">
        <v>2378.0</v>
      </c>
      <c r="C278">
        <f t="shared" si="2"/>
        <v>2142.285714</v>
      </c>
      <c r="D278">
        <f t="shared" si="1"/>
        <v>2252.666667</v>
      </c>
      <c r="E278">
        <f t="shared" si="3"/>
        <v>2139.5</v>
      </c>
    </row>
    <row r="279">
      <c r="A279" s="7">
        <v>39897.0</v>
      </c>
      <c r="B279" s="9">
        <v>2109.0</v>
      </c>
      <c r="C279">
        <f t="shared" si="2"/>
        <v>2138.285714</v>
      </c>
      <c r="D279">
        <f t="shared" si="1"/>
        <v>2300.666667</v>
      </c>
      <c r="E279">
        <f t="shared" si="3"/>
        <v>2148.882353</v>
      </c>
    </row>
    <row r="280">
      <c r="A280" s="7">
        <v>39898.0</v>
      </c>
      <c r="B280" s="9">
        <v>2415.0</v>
      </c>
      <c r="C280">
        <f t="shared" si="2"/>
        <v>2198.571429</v>
      </c>
      <c r="D280">
        <f t="shared" si="1"/>
        <v>2140</v>
      </c>
      <c r="E280">
        <f t="shared" si="3"/>
        <v>2157</v>
      </c>
    </row>
    <row r="281">
      <c r="A281" s="7">
        <v>39899.0</v>
      </c>
      <c r="B281" s="9">
        <v>1896.0</v>
      </c>
      <c r="C281">
        <f t="shared" si="2"/>
        <v>2172.857143</v>
      </c>
      <c r="D281">
        <f t="shared" si="1"/>
        <v>2074.666667</v>
      </c>
      <c r="E281">
        <f t="shared" si="3"/>
        <v>2147.8</v>
      </c>
    </row>
    <row r="282">
      <c r="A282" s="7">
        <v>39900.0</v>
      </c>
      <c r="B282" s="9">
        <v>1913.0</v>
      </c>
      <c r="C282">
        <f t="shared" si="2"/>
        <v>2164.428571</v>
      </c>
      <c r="D282">
        <f t="shared" si="1"/>
        <v>2072.333333</v>
      </c>
      <c r="E282">
        <f t="shared" si="3"/>
        <v>2130</v>
      </c>
    </row>
    <row r="283">
      <c r="A283" s="7">
        <v>39901.0</v>
      </c>
      <c r="B283" s="9">
        <v>2408.0</v>
      </c>
      <c r="C283">
        <f t="shared" si="2"/>
        <v>2173.666667</v>
      </c>
      <c r="D283">
        <f t="shared" si="1"/>
        <v>2137.333333</v>
      </c>
      <c r="E283">
        <f t="shared" si="3"/>
        <v>2132.461538</v>
      </c>
    </row>
    <row r="284">
      <c r="A284" s="7">
        <v>39902.0</v>
      </c>
      <c r="B284" s="9">
        <v>2091.0</v>
      </c>
      <c r="C284">
        <f t="shared" si="2"/>
        <v>2125.4</v>
      </c>
      <c r="D284">
        <f t="shared" si="1"/>
        <v>2272.666667</v>
      </c>
      <c r="E284">
        <f t="shared" si="3"/>
        <v>2153.25</v>
      </c>
    </row>
    <row r="285">
      <c r="A285" s="7">
        <v>39903.0</v>
      </c>
      <c r="B285" s="9">
        <v>2319.0</v>
      </c>
      <c r="C285">
        <f t="shared" si="2"/>
        <v>2182.75</v>
      </c>
      <c r="D285">
        <f t="shared" si="1"/>
        <v>2205</v>
      </c>
      <c r="E285">
        <f t="shared" si="3"/>
        <v>2157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29"/>
    <col customWidth="1" min="4" max="4" width="19.57"/>
    <col customWidth="1" min="5" max="5" width="22.29"/>
  </cols>
  <sheetData>
    <row r="1">
      <c r="A1" s="2" t="s">
        <v>1</v>
      </c>
      <c r="B1" s="4" t="s">
        <v>3</v>
      </c>
      <c r="C1" s="5" t="s">
        <v>5</v>
      </c>
      <c r="D1" s="5" t="s">
        <v>7</v>
      </c>
      <c r="E1" s="5" t="s">
        <v>9</v>
      </c>
      <c r="F1" s="5" t="s">
        <v>10</v>
      </c>
      <c r="G1" s="5" t="s">
        <v>11</v>
      </c>
      <c r="N1" s="6">
        <v>2013.0</v>
      </c>
      <c r="O1" s="6">
        <v>2014.0</v>
      </c>
      <c r="P1" s="6">
        <v>2015.0</v>
      </c>
    </row>
    <row r="2">
      <c r="A2" s="8">
        <v>41275.0</v>
      </c>
      <c r="B2" s="10">
        <v>13.0</v>
      </c>
      <c r="C2" s="11">
        <v>12.76576576576576</v>
      </c>
      <c r="D2" s="11">
        <f t="shared" ref="D2:D37" si="1">B2-C2</f>
        <v>0.2342342342</v>
      </c>
      <c r="E2" s="12">
        <v>-0.05735821693703506</v>
      </c>
      <c r="F2" s="13">
        <f t="shared" ref="F2:F49" si="2">C2*(1+E2)</f>
        <v>12.0335442</v>
      </c>
      <c r="G2" s="13">
        <f t="shared" ref="G2:G37" si="3">B2-F2</f>
        <v>0.9664557964</v>
      </c>
      <c r="M2" s="6" t="s">
        <v>12</v>
      </c>
      <c r="N2">
        <v>13.0</v>
      </c>
      <c r="O2">
        <v>73.0</v>
      </c>
      <c r="P2">
        <v>134.0</v>
      </c>
    </row>
    <row r="3">
      <c r="A3" s="8">
        <v>41306.0</v>
      </c>
      <c r="B3" s="10">
        <v>19.0</v>
      </c>
      <c r="C3" s="11">
        <v>18.35534105534105</v>
      </c>
      <c r="D3" s="11">
        <f t="shared" si="1"/>
        <v>0.6446589447</v>
      </c>
      <c r="E3" s="12">
        <v>0.062211364268793166</v>
      </c>
      <c r="F3" s="13">
        <f t="shared" si="2"/>
        <v>19.49725186</v>
      </c>
      <c r="G3" s="13">
        <f t="shared" si="3"/>
        <v>-0.497251864</v>
      </c>
      <c r="M3" s="6" t="s">
        <v>13</v>
      </c>
      <c r="N3">
        <v>19.0</v>
      </c>
      <c r="O3">
        <v>92.0</v>
      </c>
      <c r="P3">
        <v>166.0</v>
      </c>
    </row>
    <row r="4">
      <c r="A4" s="8">
        <v>41334.0</v>
      </c>
      <c r="B4" s="10">
        <v>30.0</v>
      </c>
      <c r="C4" s="11">
        <v>23.94491634491634</v>
      </c>
      <c r="D4" s="11">
        <f t="shared" si="1"/>
        <v>6.055083655</v>
      </c>
      <c r="E4" s="12">
        <v>0.17121122820469228</v>
      </c>
      <c r="F4" s="13">
        <f t="shared" si="2"/>
        <v>28.04455488</v>
      </c>
      <c r="G4" s="13">
        <f t="shared" si="3"/>
        <v>1.955445118</v>
      </c>
      <c r="M4" s="6" t="s">
        <v>14</v>
      </c>
      <c r="N4">
        <v>30.0</v>
      </c>
      <c r="O4">
        <v>108.0</v>
      </c>
      <c r="P4">
        <v>187.0</v>
      </c>
    </row>
    <row r="5">
      <c r="A5" s="8">
        <v>41365.0</v>
      </c>
      <c r="B5" s="10">
        <v>25.0</v>
      </c>
      <c r="C5" s="11">
        <v>29.53449163449163</v>
      </c>
      <c r="D5" s="11">
        <f t="shared" si="1"/>
        <v>-4.534491634</v>
      </c>
      <c r="E5" s="12">
        <v>-0.302037064227205</v>
      </c>
      <c r="F5" s="13">
        <f t="shared" si="2"/>
        <v>20.61398049</v>
      </c>
      <c r="G5" s="13">
        <f t="shared" si="3"/>
        <v>4.386019512</v>
      </c>
      <c r="M5" s="6" t="s">
        <v>15</v>
      </c>
      <c r="N5">
        <v>25.0</v>
      </c>
      <c r="O5">
        <v>71.0</v>
      </c>
      <c r="P5">
        <v>120.0</v>
      </c>
    </row>
    <row r="6">
      <c r="A6" s="8">
        <v>41395.0</v>
      </c>
      <c r="B6" s="10">
        <v>31.0</v>
      </c>
      <c r="C6" s="11">
        <v>35.12406692406692</v>
      </c>
      <c r="D6" s="11">
        <f t="shared" si="1"/>
        <v>-4.124066924</v>
      </c>
      <c r="E6" s="12">
        <v>-0.20199519955275436</v>
      </c>
      <c r="F6" s="13">
        <f t="shared" si="2"/>
        <v>28.02917402</v>
      </c>
      <c r="G6" s="13">
        <f t="shared" si="3"/>
        <v>2.970825983</v>
      </c>
      <c r="M6" s="6" t="s">
        <v>16</v>
      </c>
      <c r="N6">
        <v>31.0</v>
      </c>
      <c r="O6">
        <v>82.0</v>
      </c>
      <c r="P6">
        <v>138.0</v>
      </c>
    </row>
    <row r="7">
      <c r="A7" s="8">
        <v>41426.0</v>
      </c>
      <c r="B7" s="10">
        <v>37.0</v>
      </c>
      <c r="C7" s="11">
        <v>40.71364221364221</v>
      </c>
      <c r="D7" s="11">
        <f t="shared" si="1"/>
        <v>-3.713642214</v>
      </c>
      <c r="E7" s="12">
        <v>-0.1000073160908428</v>
      </c>
      <c r="F7" s="13">
        <f t="shared" si="2"/>
        <v>36.64198013</v>
      </c>
      <c r="G7" s="13">
        <f t="shared" si="3"/>
        <v>0.3580198724</v>
      </c>
      <c r="M7" s="6" t="s">
        <v>17</v>
      </c>
      <c r="N7">
        <v>37.0</v>
      </c>
      <c r="O7">
        <v>98.0</v>
      </c>
      <c r="P7">
        <v>159.0</v>
      </c>
    </row>
    <row r="8">
      <c r="A8" s="8">
        <v>41456.0</v>
      </c>
      <c r="B8" s="10">
        <v>63.0</v>
      </c>
      <c r="C8" s="11">
        <v>46.303217503217496</v>
      </c>
      <c r="D8" s="11">
        <f t="shared" si="1"/>
        <v>16.6967825</v>
      </c>
      <c r="E8" s="12">
        <v>0.2630817177265265</v>
      </c>
      <c r="F8" s="13">
        <f t="shared" si="2"/>
        <v>58.4847475</v>
      </c>
      <c r="G8" s="13">
        <f t="shared" si="3"/>
        <v>4.5152525</v>
      </c>
      <c r="M8" s="6" t="s">
        <v>18</v>
      </c>
      <c r="N8">
        <v>63.0</v>
      </c>
      <c r="O8">
        <v>154.0</v>
      </c>
      <c r="P8">
        <v>244.0</v>
      </c>
    </row>
    <row r="9">
      <c r="A9" s="8">
        <v>41487.0</v>
      </c>
      <c r="B9" s="10">
        <v>56.0</v>
      </c>
      <c r="C9" s="11">
        <v>51.89279279279279</v>
      </c>
      <c r="D9" s="11">
        <f t="shared" si="1"/>
        <v>4.107207207</v>
      </c>
      <c r="E9" s="12">
        <v>0.07443980827146657</v>
      </c>
      <c r="F9" s="13">
        <f t="shared" si="2"/>
        <v>55.75568234</v>
      </c>
      <c r="G9" s="13">
        <f t="shared" si="3"/>
        <v>0.244317661</v>
      </c>
      <c r="M9" s="6" t="s">
        <v>19</v>
      </c>
      <c r="N9">
        <v>56.0</v>
      </c>
      <c r="O9">
        <v>130.0</v>
      </c>
      <c r="P9">
        <v>199.0</v>
      </c>
    </row>
    <row r="10">
      <c r="A10" s="8">
        <v>41518.0</v>
      </c>
      <c r="B10" s="10">
        <v>53.0</v>
      </c>
      <c r="C10" s="11">
        <v>57.48236808236808</v>
      </c>
      <c r="D10" s="11">
        <f t="shared" si="1"/>
        <v>-4.482368082</v>
      </c>
      <c r="E10" s="12">
        <v>-0.10361067708196779</v>
      </c>
      <c r="F10" s="13">
        <f t="shared" si="2"/>
        <v>51.52658101</v>
      </c>
      <c r="G10" s="13">
        <f t="shared" si="3"/>
        <v>1.473418995</v>
      </c>
      <c r="M10" s="6" t="s">
        <v>20</v>
      </c>
      <c r="N10">
        <v>53.0</v>
      </c>
      <c r="O10">
        <v>112.0</v>
      </c>
      <c r="P10">
        <v>172.0</v>
      </c>
    </row>
    <row r="11">
      <c r="A11" s="8">
        <v>41548.0</v>
      </c>
      <c r="B11" s="10">
        <v>59.0</v>
      </c>
      <c r="C11" s="11">
        <v>63.07194337194337</v>
      </c>
      <c r="D11" s="11">
        <f t="shared" si="1"/>
        <v>-4.071943372</v>
      </c>
      <c r="E11" s="12">
        <v>-0.09854312622674204</v>
      </c>
      <c r="F11" s="13">
        <f t="shared" si="2"/>
        <v>56.85663689</v>
      </c>
      <c r="G11" s="13">
        <f t="shared" si="3"/>
        <v>2.143363105</v>
      </c>
      <c r="M11" s="6" t="s">
        <v>21</v>
      </c>
      <c r="N11">
        <v>59.0</v>
      </c>
      <c r="O11">
        <v>117.0</v>
      </c>
      <c r="P11">
        <v>177.0</v>
      </c>
    </row>
    <row r="12">
      <c r="A12" s="8">
        <v>41579.0</v>
      </c>
      <c r="B12" s="10">
        <v>50.0</v>
      </c>
      <c r="C12" s="11">
        <v>68.66151866151866</v>
      </c>
      <c r="D12" s="11">
        <f t="shared" si="1"/>
        <v>-18.66151866</v>
      </c>
      <c r="E12" s="12">
        <v>-0.3656080755292717</v>
      </c>
      <c r="F12" s="13">
        <f t="shared" si="2"/>
        <v>43.55831296</v>
      </c>
      <c r="G12" s="13">
        <f t="shared" si="3"/>
        <v>6.441687039</v>
      </c>
      <c r="M12" s="6" t="s">
        <v>22</v>
      </c>
      <c r="N12">
        <v>50.0</v>
      </c>
      <c r="O12">
        <v>101.0</v>
      </c>
      <c r="P12">
        <v>147.0</v>
      </c>
    </row>
    <row r="13">
      <c r="A13" s="8">
        <v>41609.0</v>
      </c>
      <c r="B13" s="10">
        <v>98.0</v>
      </c>
      <c r="C13" s="11">
        <v>74.25109395109395</v>
      </c>
      <c r="D13" s="11">
        <f t="shared" si="1"/>
        <v>23.74890605</v>
      </c>
      <c r="E13" s="12">
        <v>0.24698607290901667</v>
      </c>
      <c r="F13" s="13">
        <f t="shared" si="2"/>
        <v>92.59008006</v>
      </c>
      <c r="G13" s="13">
        <f t="shared" si="3"/>
        <v>5.409919945</v>
      </c>
      <c r="M13" s="6" t="s">
        <v>23</v>
      </c>
      <c r="N13">
        <v>98.0</v>
      </c>
      <c r="O13">
        <v>188.0</v>
      </c>
      <c r="P13">
        <v>278.0</v>
      </c>
    </row>
    <row r="14">
      <c r="A14" s="8">
        <v>41640.0</v>
      </c>
      <c r="B14" s="10">
        <v>73.0</v>
      </c>
      <c r="C14" s="11">
        <v>79.84066924066924</v>
      </c>
      <c r="D14" s="11">
        <f t="shared" si="1"/>
        <v>-6.840669241</v>
      </c>
      <c r="E14" s="14">
        <v>-0.05735821693703506</v>
      </c>
      <c r="F14" s="13">
        <f t="shared" si="2"/>
        <v>75.26115081</v>
      </c>
      <c r="G14" s="13">
        <f t="shared" si="3"/>
        <v>-2.261150814</v>
      </c>
    </row>
    <row r="15">
      <c r="A15" s="8">
        <v>41671.0</v>
      </c>
      <c r="B15" s="10">
        <v>92.0</v>
      </c>
      <c r="C15" s="11">
        <v>85.43024453024452</v>
      </c>
      <c r="D15" s="11">
        <f t="shared" si="1"/>
        <v>6.56975547</v>
      </c>
      <c r="E15" s="14">
        <v>0.062211364268793166</v>
      </c>
      <c r="F15" s="13">
        <f t="shared" si="2"/>
        <v>90.74497659</v>
      </c>
      <c r="G15" s="13">
        <f t="shared" si="3"/>
        <v>1.255023408</v>
      </c>
      <c r="N15" s="6">
        <v>2013.0</v>
      </c>
      <c r="O15" s="6">
        <v>2014.0</v>
      </c>
      <c r="P15" s="6">
        <v>2015.0</v>
      </c>
    </row>
    <row r="16">
      <c r="A16" s="8">
        <v>41699.0</v>
      </c>
      <c r="B16" s="10">
        <v>108.0</v>
      </c>
      <c r="C16" s="11">
        <v>91.01981981981982</v>
      </c>
      <c r="D16" s="11">
        <f t="shared" si="1"/>
        <v>16.98018018</v>
      </c>
      <c r="E16" s="14">
        <v>0.17121122820469228</v>
      </c>
      <c r="F16" s="13">
        <f t="shared" si="2"/>
        <v>106.603435</v>
      </c>
      <c r="G16" s="13">
        <f t="shared" si="3"/>
        <v>1.396565038</v>
      </c>
      <c r="M16" s="6" t="s">
        <v>12</v>
      </c>
      <c r="N16" s="11">
        <v>0.23423423423423984</v>
      </c>
      <c r="O16" s="11">
        <v>-6.840669240669243</v>
      </c>
      <c r="P16" s="11">
        <v>-12.915572715572722</v>
      </c>
    </row>
    <row r="17">
      <c r="A17" s="8">
        <v>41730.0</v>
      </c>
      <c r="B17" s="10">
        <v>71.0</v>
      </c>
      <c r="C17" s="11">
        <v>96.60939510939511</v>
      </c>
      <c r="D17" s="11">
        <f t="shared" si="1"/>
        <v>-25.60939511</v>
      </c>
      <c r="E17" s="14">
        <v>-0.302037064227205</v>
      </c>
      <c r="F17" s="13">
        <f t="shared" si="2"/>
        <v>67.42977703</v>
      </c>
      <c r="G17" s="13">
        <f t="shared" si="3"/>
        <v>3.570222966</v>
      </c>
      <c r="M17" s="6" t="s">
        <v>13</v>
      </c>
      <c r="N17" s="11">
        <v>0.6446589446589499</v>
      </c>
      <c r="O17" s="11">
        <v>6.569755469755478</v>
      </c>
      <c r="P17" s="11">
        <v>13.494851994851985</v>
      </c>
    </row>
    <row r="18">
      <c r="A18" s="8">
        <v>41760.0</v>
      </c>
      <c r="B18" s="10">
        <v>82.0</v>
      </c>
      <c r="C18" s="11">
        <v>102.1989703989704</v>
      </c>
      <c r="D18" s="11">
        <f t="shared" si="1"/>
        <v>-20.1989704</v>
      </c>
      <c r="E18" s="14">
        <v>-0.20199519955275436</v>
      </c>
      <c r="F18" s="13">
        <f t="shared" si="2"/>
        <v>81.55526898</v>
      </c>
      <c r="G18" s="13">
        <f t="shared" si="3"/>
        <v>0.4447310209</v>
      </c>
      <c r="M18" s="6" t="s">
        <v>14</v>
      </c>
      <c r="N18" s="11">
        <v>6.05508365508366</v>
      </c>
      <c r="O18" s="11">
        <v>16.980180180180184</v>
      </c>
      <c r="P18" s="11">
        <v>28.90527670527669</v>
      </c>
    </row>
    <row r="19">
      <c r="A19" s="8">
        <v>41791.0</v>
      </c>
      <c r="B19" s="10">
        <v>98.0</v>
      </c>
      <c r="C19" s="11">
        <v>107.7885456885457</v>
      </c>
      <c r="D19" s="11">
        <f t="shared" si="1"/>
        <v>-9.788545689</v>
      </c>
      <c r="E19" s="14">
        <v>-0.1000073160908428</v>
      </c>
      <c r="F19" s="13">
        <f t="shared" si="2"/>
        <v>97.00890253</v>
      </c>
      <c r="G19" s="13">
        <f t="shared" si="3"/>
        <v>0.9910974711</v>
      </c>
      <c r="M19" s="6" t="s">
        <v>15</v>
      </c>
      <c r="N19" s="11">
        <v>-4.53449163449163</v>
      </c>
      <c r="O19" s="11">
        <v>-25.60939510939511</v>
      </c>
      <c r="P19" s="11">
        <v>-43.684298584298574</v>
      </c>
    </row>
    <row r="20">
      <c r="A20" s="8">
        <v>41821.0</v>
      </c>
      <c r="B20" s="10">
        <v>154.0</v>
      </c>
      <c r="C20" s="11">
        <v>113.37812097812098</v>
      </c>
      <c r="D20" s="11">
        <f t="shared" si="1"/>
        <v>40.62187902</v>
      </c>
      <c r="E20" s="14">
        <v>0.2630817177265265</v>
      </c>
      <c r="F20" s="13">
        <f t="shared" si="2"/>
        <v>143.2058318</v>
      </c>
      <c r="G20" s="13">
        <f t="shared" si="3"/>
        <v>10.7941682</v>
      </c>
      <c r="M20" s="6" t="s">
        <v>16</v>
      </c>
      <c r="N20" s="11">
        <v>-4.124066924066923</v>
      </c>
      <c r="O20" s="11">
        <v>-20.198970398970403</v>
      </c>
      <c r="P20" s="11">
        <v>-31.273873873873868</v>
      </c>
    </row>
    <row r="21">
      <c r="A21" s="8">
        <v>41852.0</v>
      </c>
      <c r="B21" s="10">
        <v>130.0</v>
      </c>
      <c r="C21" s="11">
        <v>118.96769626769627</v>
      </c>
      <c r="D21" s="11">
        <f t="shared" si="1"/>
        <v>11.03230373</v>
      </c>
      <c r="E21" s="14">
        <v>0.07443980827146657</v>
      </c>
      <c r="F21" s="13">
        <f t="shared" si="2"/>
        <v>127.8236288</v>
      </c>
      <c r="G21" s="13">
        <f t="shared" si="3"/>
        <v>2.176371232</v>
      </c>
      <c r="M21" s="6" t="s">
        <v>17</v>
      </c>
      <c r="N21" s="11">
        <v>-3.71364221364221</v>
      </c>
      <c r="O21" s="11">
        <v>-9.788545688545696</v>
      </c>
      <c r="P21" s="11">
        <v>-15.863449163449161</v>
      </c>
    </row>
    <row r="22">
      <c r="A22" s="8">
        <v>41883.0</v>
      </c>
      <c r="B22" s="10">
        <v>112.0</v>
      </c>
      <c r="C22" s="11">
        <v>124.55727155727156</v>
      </c>
      <c r="D22" s="11">
        <f t="shared" si="1"/>
        <v>-12.55727156</v>
      </c>
      <c r="E22" s="14">
        <v>-0.10361067708196779</v>
      </c>
      <c r="F22" s="13">
        <f t="shared" si="2"/>
        <v>111.6518083</v>
      </c>
      <c r="G22" s="13">
        <f t="shared" si="3"/>
        <v>0.3481916843</v>
      </c>
      <c r="M22" s="6" t="s">
        <v>18</v>
      </c>
      <c r="N22" s="11">
        <v>16.696782496782504</v>
      </c>
      <c r="O22" s="11">
        <v>40.621879021879025</v>
      </c>
      <c r="P22" s="11">
        <v>63.546975546975546</v>
      </c>
    </row>
    <row r="23">
      <c r="A23" s="8">
        <v>41913.0</v>
      </c>
      <c r="B23" s="10">
        <v>117.0</v>
      </c>
      <c r="C23" s="11">
        <v>130.14684684684684</v>
      </c>
      <c r="D23" s="11">
        <f t="shared" si="1"/>
        <v>-13.14684685</v>
      </c>
      <c r="E23" s="14">
        <v>-0.09854312622674204</v>
      </c>
      <c r="F23" s="13">
        <f t="shared" si="2"/>
        <v>117.3217697</v>
      </c>
      <c r="G23" s="13">
        <f t="shared" si="3"/>
        <v>-0.32176969</v>
      </c>
      <c r="M23" s="6" t="s">
        <v>19</v>
      </c>
      <c r="N23" s="11">
        <v>4.10720720720721</v>
      </c>
      <c r="O23" s="11">
        <v>11.032303732303731</v>
      </c>
      <c r="P23" s="11">
        <v>12.957400257400252</v>
      </c>
    </row>
    <row r="24">
      <c r="A24" s="8">
        <v>41944.0</v>
      </c>
      <c r="B24" s="10">
        <v>101.0</v>
      </c>
      <c r="C24" s="11">
        <v>135.73642213642214</v>
      </c>
      <c r="D24" s="11">
        <f t="shared" si="1"/>
        <v>-34.73642214</v>
      </c>
      <c r="E24" s="14">
        <v>-0.3656080755292717</v>
      </c>
      <c r="F24" s="13">
        <f t="shared" si="2"/>
        <v>86.11009006</v>
      </c>
      <c r="G24" s="13">
        <f t="shared" si="3"/>
        <v>14.88990994</v>
      </c>
      <c r="M24" s="6" t="s">
        <v>20</v>
      </c>
      <c r="N24" s="11">
        <v>-4.482368082368083</v>
      </c>
      <c r="O24" s="11">
        <v>-12.557271557271562</v>
      </c>
      <c r="P24" s="11">
        <v>-19.63217503217504</v>
      </c>
    </row>
    <row r="25">
      <c r="A25" s="8">
        <v>41974.0</v>
      </c>
      <c r="B25" s="10">
        <v>188.0</v>
      </c>
      <c r="C25" s="11">
        <v>141.32599742599743</v>
      </c>
      <c r="D25" s="11">
        <f t="shared" si="1"/>
        <v>46.67400257</v>
      </c>
      <c r="E25" s="14">
        <v>0.24698607290901667</v>
      </c>
      <c r="F25" s="13">
        <f t="shared" si="2"/>
        <v>176.2315505</v>
      </c>
      <c r="G25" s="13">
        <f t="shared" si="3"/>
        <v>11.76844947</v>
      </c>
      <c r="M25" s="6" t="s">
        <v>21</v>
      </c>
      <c r="N25" s="11">
        <v>-4.0719433719433695</v>
      </c>
      <c r="O25" s="11">
        <v>-13.146846846846842</v>
      </c>
      <c r="P25" s="11">
        <v>-20.221750321750335</v>
      </c>
    </row>
    <row r="26">
      <c r="A26" s="8">
        <v>42005.0</v>
      </c>
      <c r="B26" s="10">
        <v>134.0</v>
      </c>
      <c r="C26" s="11">
        <v>146.91557271557272</v>
      </c>
      <c r="D26" s="11">
        <f t="shared" si="1"/>
        <v>-12.91557272</v>
      </c>
      <c r="E26" s="14">
        <v>-0.05735821693703506</v>
      </c>
      <c r="F26" s="13">
        <f t="shared" si="2"/>
        <v>138.4887574</v>
      </c>
      <c r="G26" s="13">
        <f t="shared" si="3"/>
        <v>-4.488757424</v>
      </c>
      <c r="M26" s="6" t="s">
        <v>22</v>
      </c>
      <c r="N26" s="11">
        <v>-18.661518661518656</v>
      </c>
      <c r="O26" s="11">
        <v>-34.736422136422135</v>
      </c>
      <c r="P26" s="11">
        <v>-55.81132561132563</v>
      </c>
    </row>
    <row r="27">
      <c r="A27" s="8">
        <v>42036.0</v>
      </c>
      <c r="B27" s="10">
        <v>166.0</v>
      </c>
      <c r="C27" s="11">
        <v>152.50514800514802</v>
      </c>
      <c r="D27" s="11">
        <f t="shared" si="1"/>
        <v>13.49485199</v>
      </c>
      <c r="E27" s="14">
        <v>0.062211364268793166</v>
      </c>
      <c r="F27" s="13">
        <f t="shared" si="2"/>
        <v>161.9927013</v>
      </c>
      <c r="G27" s="13">
        <f t="shared" si="3"/>
        <v>4.007298679</v>
      </c>
      <c r="M27" s="6" t="s">
        <v>23</v>
      </c>
      <c r="N27" s="11">
        <v>23.74890604890605</v>
      </c>
      <c r="O27" s="11">
        <v>46.67400257400257</v>
      </c>
      <c r="P27" s="11">
        <v>69.59909909909908</v>
      </c>
    </row>
    <row r="28">
      <c r="A28" s="8">
        <v>42064.0</v>
      </c>
      <c r="B28" s="10">
        <v>187.0</v>
      </c>
      <c r="C28" s="11">
        <v>158.0947232947233</v>
      </c>
      <c r="D28" s="11">
        <f t="shared" si="1"/>
        <v>28.90527671</v>
      </c>
      <c r="E28" s="14">
        <v>0.17121122820469228</v>
      </c>
      <c r="F28" s="13">
        <f t="shared" si="2"/>
        <v>185.162315</v>
      </c>
      <c r="G28" s="13">
        <f t="shared" si="3"/>
        <v>1.837684957</v>
      </c>
    </row>
    <row r="29">
      <c r="A29" s="8">
        <v>42095.0</v>
      </c>
      <c r="B29" s="10">
        <v>120.0</v>
      </c>
      <c r="C29" s="11">
        <v>163.68429858429857</v>
      </c>
      <c r="D29" s="11">
        <f t="shared" si="1"/>
        <v>-43.68429858</v>
      </c>
      <c r="E29" s="14">
        <v>-0.302037064227205</v>
      </c>
      <c r="F29" s="13">
        <f t="shared" si="2"/>
        <v>114.2455736</v>
      </c>
      <c r="G29" s="13">
        <f t="shared" si="3"/>
        <v>5.75442642</v>
      </c>
      <c r="N29" s="6">
        <v>2013.0</v>
      </c>
      <c r="O29" s="6">
        <v>2014.0</v>
      </c>
      <c r="P29" s="6">
        <v>2015.0</v>
      </c>
      <c r="Q29" s="15" t="s">
        <v>24</v>
      </c>
    </row>
    <row r="30">
      <c r="A30" s="8">
        <v>42125.0</v>
      </c>
      <c r="B30" s="10">
        <v>138.0</v>
      </c>
      <c r="C30" s="11">
        <v>169.27387387387387</v>
      </c>
      <c r="D30" s="11">
        <f t="shared" si="1"/>
        <v>-31.27387387</v>
      </c>
      <c r="E30" s="14">
        <v>-0.20199519955275436</v>
      </c>
      <c r="F30" s="13">
        <f t="shared" si="2"/>
        <v>135.0813639</v>
      </c>
      <c r="G30" s="13">
        <f t="shared" si="3"/>
        <v>2.918636058</v>
      </c>
      <c r="M30" s="6" t="s">
        <v>12</v>
      </c>
      <c r="N30" s="11">
        <f t="shared" ref="N30:P30" si="4">N16/N2</f>
        <v>0.01801801802</v>
      </c>
      <c r="O30" s="11">
        <f t="shared" si="4"/>
        <v>-0.09370779782</v>
      </c>
      <c r="P30" s="11">
        <f t="shared" si="4"/>
        <v>-0.09638487101</v>
      </c>
      <c r="Q30" s="11">
        <f t="shared" ref="Q30:Q41" si="6">AVERAGE(N30:P30)</f>
        <v>-0.05735821694</v>
      </c>
    </row>
    <row r="31">
      <c r="A31" s="8">
        <v>42156.0</v>
      </c>
      <c r="B31" s="10">
        <v>159.0</v>
      </c>
      <c r="C31" s="11">
        <v>174.86344916344916</v>
      </c>
      <c r="D31" s="11">
        <f t="shared" si="1"/>
        <v>-15.86344916</v>
      </c>
      <c r="E31" s="14">
        <v>-0.1000073160908428</v>
      </c>
      <c r="F31" s="13">
        <f t="shared" si="2"/>
        <v>157.3758249</v>
      </c>
      <c r="G31" s="13">
        <f t="shared" si="3"/>
        <v>1.62417507</v>
      </c>
      <c r="M31" s="6" t="s">
        <v>13</v>
      </c>
      <c r="N31" s="11">
        <f t="shared" ref="N31:P31" si="5">N17/N3</f>
        <v>0.03392941814</v>
      </c>
      <c r="O31" s="11">
        <f t="shared" si="5"/>
        <v>0.07141038554</v>
      </c>
      <c r="P31" s="11">
        <f t="shared" si="5"/>
        <v>0.08129428913</v>
      </c>
      <c r="Q31" s="11">
        <f t="shared" si="6"/>
        <v>0.06221136427</v>
      </c>
    </row>
    <row r="32">
      <c r="A32" s="8">
        <v>42186.0</v>
      </c>
      <c r="B32" s="10">
        <v>244.0</v>
      </c>
      <c r="C32" s="11">
        <v>180.45302445302445</v>
      </c>
      <c r="D32" s="11">
        <f t="shared" si="1"/>
        <v>63.54697555</v>
      </c>
      <c r="E32" s="14">
        <v>0.2630817177265265</v>
      </c>
      <c r="F32" s="13">
        <f t="shared" si="2"/>
        <v>227.9269161</v>
      </c>
      <c r="G32" s="13">
        <f t="shared" si="3"/>
        <v>16.0730839</v>
      </c>
      <c r="M32" s="6" t="s">
        <v>14</v>
      </c>
      <c r="N32" s="11">
        <f t="shared" ref="N32:P32" si="7">N18/N4</f>
        <v>0.2018361218</v>
      </c>
      <c r="O32" s="11">
        <f t="shared" si="7"/>
        <v>0.1572238906</v>
      </c>
      <c r="P32" s="11">
        <f t="shared" si="7"/>
        <v>0.1545736722</v>
      </c>
      <c r="Q32" s="11">
        <f t="shared" si="6"/>
        <v>0.1712112282</v>
      </c>
    </row>
    <row r="33">
      <c r="A33" s="8">
        <v>42217.0</v>
      </c>
      <c r="B33" s="10">
        <v>199.0</v>
      </c>
      <c r="C33" s="11">
        <v>186.04259974259975</v>
      </c>
      <c r="D33" s="11">
        <f t="shared" si="1"/>
        <v>12.95740026</v>
      </c>
      <c r="E33" s="14">
        <v>0.07443980827146657</v>
      </c>
      <c r="F33" s="13">
        <f t="shared" si="2"/>
        <v>199.8915752</v>
      </c>
      <c r="G33" s="13">
        <f t="shared" si="3"/>
        <v>-0.8915751978</v>
      </c>
      <c r="M33" s="6" t="s">
        <v>15</v>
      </c>
      <c r="N33" s="11">
        <f t="shared" ref="N33:P33" si="8">N19/N5</f>
        <v>-0.1813796654</v>
      </c>
      <c r="O33" s="11">
        <f t="shared" si="8"/>
        <v>-0.3606957058</v>
      </c>
      <c r="P33" s="11">
        <f t="shared" si="8"/>
        <v>-0.3640358215</v>
      </c>
      <c r="Q33" s="11">
        <f t="shared" si="6"/>
        <v>-0.3020370642</v>
      </c>
    </row>
    <row r="34">
      <c r="A34" s="8">
        <v>42248.0</v>
      </c>
      <c r="B34" s="10">
        <v>172.0</v>
      </c>
      <c r="C34" s="11">
        <v>191.63217503217504</v>
      </c>
      <c r="D34" s="11">
        <f t="shared" si="1"/>
        <v>-19.63217503</v>
      </c>
      <c r="E34" s="14">
        <v>-0.10361067708196779</v>
      </c>
      <c r="F34" s="13">
        <f t="shared" si="2"/>
        <v>171.7770356</v>
      </c>
      <c r="G34" s="13">
        <f t="shared" si="3"/>
        <v>0.2229643736</v>
      </c>
      <c r="M34" s="6" t="s">
        <v>16</v>
      </c>
      <c r="N34" s="11">
        <f t="shared" ref="N34:P34" si="9">N20/N6</f>
        <v>-0.1330344169</v>
      </c>
      <c r="O34" s="11">
        <f t="shared" si="9"/>
        <v>-0.2463289073</v>
      </c>
      <c r="P34" s="11">
        <f t="shared" si="9"/>
        <v>-0.2266222744</v>
      </c>
      <c r="Q34" s="11">
        <f t="shared" si="6"/>
        <v>-0.2019951996</v>
      </c>
    </row>
    <row r="35">
      <c r="A35" s="8">
        <v>42278.0</v>
      </c>
      <c r="B35" s="10">
        <v>177.0</v>
      </c>
      <c r="C35" s="11">
        <v>197.22175032175033</v>
      </c>
      <c r="D35" s="11">
        <f t="shared" si="1"/>
        <v>-20.22175032</v>
      </c>
      <c r="E35" s="14">
        <v>-0.09854312622674204</v>
      </c>
      <c r="F35" s="13">
        <f t="shared" si="2"/>
        <v>177.7869025</v>
      </c>
      <c r="G35" s="13">
        <f t="shared" si="3"/>
        <v>-0.7869024851</v>
      </c>
      <c r="M35" s="6" t="s">
        <v>17</v>
      </c>
      <c r="N35" s="11">
        <f t="shared" ref="N35:P35" si="10">N21/N7</f>
        <v>-0.1003687085</v>
      </c>
      <c r="O35" s="11">
        <f t="shared" si="10"/>
        <v>-0.09988311927</v>
      </c>
      <c r="P35" s="11">
        <f t="shared" si="10"/>
        <v>-0.09977012052</v>
      </c>
      <c r="Q35" s="11">
        <f t="shared" si="6"/>
        <v>-0.1000073161</v>
      </c>
    </row>
    <row r="36">
      <c r="A36" s="8">
        <v>42309.0</v>
      </c>
      <c r="B36" s="10">
        <v>147.0</v>
      </c>
      <c r="C36" s="11">
        <v>202.81132561132563</v>
      </c>
      <c r="D36" s="11">
        <f t="shared" si="1"/>
        <v>-55.81132561</v>
      </c>
      <c r="E36" s="14">
        <v>-0.3656080755292717</v>
      </c>
      <c r="F36" s="13">
        <f t="shared" si="2"/>
        <v>128.6618672</v>
      </c>
      <c r="G36" s="13">
        <f t="shared" si="3"/>
        <v>18.33813284</v>
      </c>
      <c r="M36" s="6" t="s">
        <v>18</v>
      </c>
      <c r="N36" s="11">
        <f t="shared" ref="N36:P36" si="11">N22/N8</f>
        <v>0.2650282936</v>
      </c>
      <c r="O36" s="11">
        <f t="shared" si="11"/>
        <v>0.2637784352</v>
      </c>
      <c r="P36" s="11">
        <f t="shared" si="11"/>
        <v>0.2604384244</v>
      </c>
      <c r="Q36" s="11">
        <f t="shared" si="6"/>
        <v>0.2630817177</v>
      </c>
    </row>
    <row r="37">
      <c r="A37" s="8">
        <v>42339.0</v>
      </c>
      <c r="B37" s="10">
        <v>278.0</v>
      </c>
      <c r="C37" s="11">
        <v>208.40090090090092</v>
      </c>
      <c r="D37" s="11">
        <f t="shared" si="1"/>
        <v>69.5990991</v>
      </c>
      <c r="E37" s="14">
        <v>0.24698607290901667</v>
      </c>
      <c r="F37" s="13">
        <f t="shared" si="2"/>
        <v>259.873021</v>
      </c>
      <c r="G37" s="13">
        <f t="shared" si="3"/>
        <v>18.12697899</v>
      </c>
      <c r="M37" s="6" t="s">
        <v>19</v>
      </c>
      <c r="N37" s="11">
        <f t="shared" ref="N37:P37" si="12">N23/N9</f>
        <v>0.07334298584</v>
      </c>
      <c r="O37" s="11">
        <f t="shared" si="12"/>
        <v>0.08486387486</v>
      </c>
      <c r="P37" s="11">
        <f t="shared" si="12"/>
        <v>0.06511256411</v>
      </c>
      <c r="Q37" s="11">
        <f t="shared" si="6"/>
        <v>0.07443980827</v>
      </c>
    </row>
    <row r="38">
      <c r="A38" s="8">
        <v>42370.0</v>
      </c>
      <c r="C38" s="11">
        <v>208.40090090090092</v>
      </c>
      <c r="D38" s="11"/>
      <c r="E38" s="11">
        <v>-0.05735821693703506</v>
      </c>
      <c r="F38" s="13">
        <f t="shared" si="2"/>
        <v>196.4473968</v>
      </c>
      <c r="M38" s="6" t="s">
        <v>20</v>
      </c>
      <c r="N38" s="11">
        <f t="shared" ref="N38:P38" si="13">N24/N10</f>
        <v>-0.08457298269</v>
      </c>
      <c r="O38" s="11">
        <f t="shared" si="13"/>
        <v>-0.112118496</v>
      </c>
      <c r="P38" s="11">
        <f t="shared" si="13"/>
        <v>-0.1141405525</v>
      </c>
      <c r="Q38" s="11">
        <f t="shared" si="6"/>
        <v>-0.1036106771</v>
      </c>
    </row>
    <row r="39">
      <c r="A39" s="8">
        <v>42401.0</v>
      </c>
      <c r="C39" s="11">
        <v>208.40090090090092</v>
      </c>
      <c r="D39" s="11"/>
      <c r="E39" s="11">
        <v>0.062211364268793166</v>
      </c>
      <c r="F39" s="13">
        <f t="shared" si="2"/>
        <v>221.3658053</v>
      </c>
      <c r="M39" s="6" t="s">
        <v>21</v>
      </c>
      <c r="N39" s="11">
        <f t="shared" ref="N39:P39" si="14">N25/N11</f>
        <v>-0.06901598935</v>
      </c>
      <c r="O39" s="11">
        <f t="shared" si="14"/>
        <v>-0.1123662124</v>
      </c>
      <c r="P39" s="11">
        <f t="shared" si="14"/>
        <v>-0.114247177</v>
      </c>
      <c r="Q39" s="11">
        <f t="shared" si="6"/>
        <v>-0.09854312623</v>
      </c>
    </row>
    <row r="40">
      <c r="A40" s="8">
        <v>42430.0</v>
      </c>
      <c r="C40" s="11">
        <v>208.40090090090092</v>
      </c>
      <c r="D40" s="11"/>
      <c r="E40" s="11">
        <v>0.17121122820469228</v>
      </c>
      <c r="F40" s="13">
        <f t="shared" si="2"/>
        <v>244.0814751</v>
      </c>
      <c r="M40" s="6" t="s">
        <v>22</v>
      </c>
      <c r="N40" s="11">
        <f t="shared" ref="N40:P40" si="15">N26/N12</f>
        <v>-0.3732303732</v>
      </c>
      <c r="O40" s="11">
        <f t="shared" si="15"/>
        <v>-0.3439249716</v>
      </c>
      <c r="P40" s="11">
        <f t="shared" si="15"/>
        <v>-0.3796688817</v>
      </c>
      <c r="Q40" s="11">
        <f t="shared" si="6"/>
        <v>-0.3656080755</v>
      </c>
    </row>
    <row r="41">
      <c r="A41" s="8">
        <v>42461.0</v>
      </c>
      <c r="C41" s="11">
        <v>208.40090090090092</v>
      </c>
      <c r="D41" s="11"/>
      <c r="E41" s="11">
        <v>-0.302037064227205</v>
      </c>
      <c r="F41" s="13">
        <f t="shared" si="2"/>
        <v>145.4561046</v>
      </c>
      <c r="M41" s="6" t="s">
        <v>23</v>
      </c>
      <c r="N41" s="11">
        <f t="shared" ref="N41:P41" si="16">N27/N13</f>
        <v>0.242335776</v>
      </c>
      <c r="O41" s="11">
        <f t="shared" si="16"/>
        <v>0.2482659711</v>
      </c>
      <c r="P41" s="11">
        <f t="shared" si="16"/>
        <v>0.2503564716</v>
      </c>
      <c r="Q41" s="11">
        <f t="shared" si="6"/>
        <v>0.2469860729</v>
      </c>
    </row>
    <row r="42">
      <c r="A42" s="8">
        <v>42491.0</v>
      </c>
      <c r="C42" s="11">
        <v>208.40090090090092</v>
      </c>
      <c r="D42" s="11"/>
      <c r="E42" s="11">
        <v>-0.20199519955275436</v>
      </c>
      <c r="F42" s="13">
        <f t="shared" si="2"/>
        <v>166.3049193</v>
      </c>
    </row>
    <row r="43">
      <c r="A43" s="8">
        <v>42522.0</v>
      </c>
      <c r="C43" s="11">
        <v>208.40090090090092</v>
      </c>
      <c r="D43" s="11"/>
      <c r="E43" s="11">
        <v>-0.1000073160908428</v>
      </c>
      <c r="F43" s="13">
        <f t="shared" si="2"/>
        <v>187.5592861</v>
      </c>
    </row>
    <row r="44">
      <c r="A44" s="8">
        <v>42552.0</v>
      </c>
      <c r="C44" s="11">
        <v>208.40090090090092</v>
      </c>
      <c r="D44" s="11"/>
      <c r="E44" s="11">
        <v>0.2630817177265265</v>
      </c>
      <c r="F44" s="13">
        <f t="shared" si="2"/>
        <v>263.2273679</v>
      </c>
    </row>
    <row r="45">
      <c r="A45" s="8">
        <v>42583.0</v>
      </c>
      <c r="C45" s="11">
        <v>208.40090090090092</v>
      </c>
      <c r="D45" s="11"/>
      <c r="E45" s="11">
        <v>0.07443980827146657</v>
      </c>
      <c r="F45" s="13">
        <f t="shared" si="2"/>
        <v>223.914224</v>
      </c>
    </row>
    <row r="46">
      <c r="A46" s="8">
        <v>42614.0</v>
      </c>
      <c r="C46" s="11">
        <v>208.40090090090092</v>
      </c>
      <c r="D46" s="11"/>
      <c r="E46" s="11">
        <v>-0.10361067708196779</v>
      </c>
      <c r="F46" s="13">
        <f t="shared" si="2"/>
        <v>186.8083425</v>
      </c>
    </row>
    <row r="47">
      <c r="A47" s="8">
        <v>42644.0</v>
      </c>
      <c r="C47" s="11">
        <v>208.40090090090092</v>
      </c>
      <c r="D47" s="11"/>
      <c r="E47" s="11">
        <v>-0.09854312622674204</v>
      </c>
      <c r="F47" s="13">
        <f t="shared" si="2"/>
        <v>187.8644246</v>
      </c>
    </row>
    <row r="48">
      <c r="A48" s="8">
        <v>42675.0</v>
      </c>
      <c r="C48" s="11">
        <v>208.40090090090092</v>
      </c>
      <c r="D48" s="11"/>
      <c r="E48" s="11">
        <v>-0.3656080755292717</v>
      </c>
      <c r="F48" s="13">
        <f t="shared" si="2"/>
        <v>132.2078486</v>
      </c>
    </row>
    <row r="49">
      <c r="A49" s="8">
        <v>42705.0</v>
      </c>
      <c r="C49" s="11">
        <v>208.40090090090092</v>
      </c>
      <c r="D49" s="11"/>
      <c r="E49" s="11">
        <v>0.24698607290901667</v>
      </c>
      <c r="F49" s="13">
        <f t="shared" si="2"/>
        <v>259.873021</v>
      </c>
    </row>
  </sheetData>
  <drawing r:id="rId1"/>
</worksheet>
</file>