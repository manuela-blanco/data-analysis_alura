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mplo 1" sheetId="1" r:id="rId4"/>
    <sheet state="visible" name="Exemplo 2" sheetId="2" r:id="rId5"/>
    <sheet state="visible" name="Exemplo 3" sheetId="3" r:id="rId6"/>
    <sheet state="visible" name="Exemplo 4" sheetId="4" r:id="rId7"/>
    <sheet state="visible" name="Exemplo 5" sheetId="5" r:id="rId8"/>
    <sheet state="visible" name="Exemplo 6" sheetId="6" r:id="rId9"/>
    <sheet state="visible" name="Exemplo 7" sheetId="7" r:id="rId10"/>
  </sheets>
  <definedNames/>
  <calcPr/>
</workbook>
</file>

<file path=xl/sharedStrings.xml><?xml version="1.0" encoding="utf-8"?>
<sst xmlns="http://schemas.openxmlformats.org/spreadsheetml/2006/main" count="25" uniqueCount="19">
  <si>
    <t>Mês</t>
  </si>
  <si>
    <t>Vendas em mil R$</t>
  </si>
  <si>
    <t>Aumento das vendas</t>
  </si>
  <si>
    <t>Aceleração das vendas</t>
  </si>
  <si>
    <t>Assinatura Newsletter</t>
  </si>
  <si>
    <t>Seguidores no Twitter</t>
  </si>
  <si>
    <t>Aumento no N° de Assinantes</t>
  </si>
  <si>
    <t>Aumento nos seguidores no Twitter por mês</t>
  </si>
  <si>
    <t>Aceleração no N° de assinantes da Newsletter</t>
  </si>
  <si>
    <t>Aceleração de seguidores no Twitter</t>
  </si>
  <si>
    <t>Data</t>
  </si>
  <si>
    <t>Vendas Quantidade</t>
  </si>
  <si>
    <t>Visitantes no Site</t>
  </si>
  <si>
    <t>Vendas em R$</t>
  </si>
  <si>
    <t>Dias úteis</t>
  </si>
  <si>
    <t>Vendas por dia útil</t>
  </si>
  <si>
    <t>Aumento de vendas por dia útil</t>
  </si>
  <si>
    <t>Fins de semana</t>
  </si>
  <si>
    <t>Visitantes no site por dia de FDS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</si>
</sst>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4">
    <font>
      <sz val="10.0"/>
      <color rgb="FF000000"/>
      <name val="Arial"/>
    </font>
    <font>
      <b/>
    </font>
    <font>
      <color theme="1"/>
      <name val="Calibri"/>
    </font>
    <font>
      <b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Vendas de produtos em mil R$ por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1'!$B$1</c:f>
            </c:strRef>
          </c:tx>
          <c:marker>
            <c:symbol val="none"/>
          </c:marker>
          <c:cat>
            <c:strRef>
              <c:f>'Exemplo 1'!$A$2:$A$25</c:f>
            </c:strRef>
          </c:cat>
          <c:val>
            <c:numRef>
              <c:f>'Exemplo 1'!$B$2:$B$25</c:f>
            </c:numRef>
          </c:val>
          <c:smooth val="0"/>
        </c:ser>
        <c:axId val="714160090"/>
        <c:axId val="964085240"/>
      </c:lineChart>
      <c:catAx>
        <c:axId val="714160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Tempo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4085240"/>
      </c:catAx>
      <c:valAx>
        <c:axId val="964085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Vendas em mil R$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1600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Aumento das vendas por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1'!$C$1</c:f>
            </c:strRef>
          </c:tx>
          <c:marker>
            <c:symbol val="none"/>
          </c:marker>
          <c:val>
            <c:numRef>
              <c:f>'Exemplo 1'!$C$2:$C$24</c:f>
            </c:numRef>
          </c:val>
          <c:smooth val="0"/>
        </c:ser>
        <c:axId val="1949940875"/>
        <c:axId val="1931936106"/>
      </c:lineChart>
      <c:catAx>
        <c:axId val="1949940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Tempo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1936106"/>
      </c:catAx>
      <c:valAx>
        <c:axId val="1931936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Aumento das vendas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99408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Aceleração das vendas por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1'!$D$1</c:f>
            </c:strRef>
          </c:tx>
          <c:marker>
            <c:symbol val="none"/>
          </c:marker>
          <c:val>
            <c:numRef>
              <c:f>'Exemplo 1'!$D$2:$D$23</c:f>
            </c:numRef>
          </c:val>
          <c:smooth val="0"/>
        </c:ser>
        <c:axId val="1129652537"/>
        <c:axId val="462919767"/>
      </c:lineChart>
      <c:catAx>
        <c:axId val="1129652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919767"/>
      </c:catAx>
      <c:valAx>
        <c:axId val="462919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Aceleração das vendas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6525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Assinantes da Newsletter por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2'!$B$1</c:f>
            </c:strRef>
          </c:tx>
          <c:marker>
            <c:symbol val="none"/>
          </c:marker>
          <c:cat>
            <c:strRef>
              <c:f>'Exemplo 2'!$A$2:$A$25</c:f>
            </c:strRef>
          </c:cat>
          <c:val>
            <c:numRef>
              <c:f>'Exemplo 2'!$B$2:$B$25</c:f>
            </c:numRef>
          </c:val>
          <c:smooth val="0"/>
        </c:ser>
        <c:axId val="1224679631"/>
        <c:axId val="1020634238"/>
      </c:lineChart>
      <c:catAx>
        <c:axId val="1224679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Tempo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0634238"/>
      </c:catAx>
      <c:valAx>
        <c:axId val="1020634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Total de assinantes da Newsletter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4679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Aumento no N° de Assinantes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2'!$C$1</c:f>
            </c:strRef>
          </c:tx>
          <c:marker>
            <c:symbol val="none"/>
          </c:marker>
          <c:val>
            <c:numRef>
              <c:f>'Exemplo 2'!$C$2:$C$24</c:f>
            </c:numRef>
          </c:val>
          <c:smooth val="0"/>
        </c:ser>
        <c:axId val="1991085676"/>
        <c:axId val="1139629229"/>
      </c:lineChart>
      <c:catAx>
        <c:axId val="1991085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Tempo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629229"/>
      </c:catAx>
      <c:valAx>
        <c:axId val="1139629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Aumento no N° de Assinantes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0856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Aceleração no N° de assinantes da Newsletter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2'!$D$1</c:f>
            </c:strRef>
          </c:tx>
          <c:marker>
            <c:symbol val="none"/>
          </c:marker>
          <c:val>
            <c:numRef>
              <c:f>'Exemplo 2'!$D$2:$D$23</c:f>
            </c:numRef>
          </c:val>
          <c:smooth val="0"/>
        </c:ser>
        <c:axId val="1039687713"/>
        <c:axId val="1250464685"/>
      </c:lineChart>
      <c:catAx>
        <c:axId val="1039687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Tempo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464685"/>
      </c:catAx>
      <c:valAx>
        <c:axId val="1250464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Aceleração no N° de assinantes da Newsletter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9687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Seguidores no Twitter por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3'!$B$1</c:f>
            </c:strRef>
          </c:tx>
          <c:marker>
            <c:symbol val="none"/>
          </c:marker>
          <c:cat>
            <c:strRef>
              <c:f>'Exemplo 3'!$A$2:$A$25</c:f>
            </c:strRef>
          </c:cat>
          <c:val>
            <c:numRef>
              <c:f>'Exemplo 3'!$B$2:$B$25</c:f>
            </c:numRef>
          </c:val>
          <c:smooth val="0"/>
        </c:ser>
        <c:axId val="248367294"/>
        <c:axId val="461546840"/>
      </c:lineChart>
      <c:catAx>
        <c:axId val="248367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Tempo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1546840"/>
      </c:catAx>
      <c:valAx>
        <c:axId val="461546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Seguidores no Twitter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83672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Aumento nos seguidores no Twitter por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3'!$C$1</c:f>
            </c:strRef>
          </c:tx>
          <c:marker>
            <c:symbol val="none"/>
          </c:marker>
          <c:val>
            <c:numRef>
              <c:f>'Exemplo 3'!$C$2:$C$24</c:f>
            </c:numRef>
          </c:val>
          <c:smooth val="0"/>
        </c:ser>
        <c:axId val="441203555"/>
        <c:axId val="263093882"/>
      </c:lineChart>
      <c:catAx>
        <c:axId val="441203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Tempo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093882"/>
      </c:catAx>
      <c:valAx>
        <c:axId val="2630938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Aumento nos seguidores noTwitter por mës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12035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Aceleração de seguidores no Twitter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3'!$D$1</c:f>
            </c:strRef>
          </c:tx>
          <c:marker>
            <c:symbol val="none"/>
          </c:marker>
          <c:val>
            <c:numRef>
              <c:f>'Exemplo 3'!$D$2:$D$23</c:f>
            </c:numRef>
          </c:val>
          <c:smooth val="0"/>
        </c:ser>
        <c:axId val="1349557549"/>
        <c:axId val="1933575174"/>
      </c:lineChart>
      <c:catAx>
        <c:axId val="1349557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Tempo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3575174"/>
      </c:catAx>
      <c:valAx>
        <c:axId val="19335751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Aceleração de seguidores no Twitter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95575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Vendas em quantidade por dia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4'!$B$1</c:f>
            </c:strRef>
          </c:tx>
          <c:marker>
            <c:symbol val="none"/>
          </c:marker>
          <c:cat>
            <c:strRef>
              <c:f>'Exemplo 4'!$A$2:$A$60</c:f>
            </c:strRef>
          </c:cat>
          <c:val>
            <c:numRef>
              <c:f>'Exemplo 4'!$B$2:$B$60</c:f>
            </c:numRef>
          </c:val>
          <c:smooth val="0"/>
        </c:ser>
        <c:axId val="11607341"/>
        <c:axId val="1228181181"/>
      </c:lineChart>
      <c:catAx>
        <c:axId val="11607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Tempo (em dias)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8181181"/>
      </c:catAx>
      <c:valAx>
        <c:axId val="1228181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Vendas (em quantidade de produtos)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073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Vendas em reais por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5'!$B$1</c:f>
            </c:strRef>
          </c:tx>
          <c:marker>
            <c:symbol val="none"/>
          </c:marker>
          <c:cat>
            <c:strRef>
              <c:f>'Exemplo 5'!$A$2:$A$25</c:f>
            </c:strRef>
          </c:cat>
          <c:val>
            <c:numRef>
              <c:f>'Exemplo 5'!$B$2:$B$25</c:f>
            </c:numRef>
          </c:val>
          <c:smooth val="0"/>
        </c:ser>
        <c:axId val="907076854"/>
        <c:axId val="321192838"/>
      </c:lineChart>
      <c:catAx>
        <c:axId val="907076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Mês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1192838"/>
      </c:catAx>
      <c:valAx>
        <c:axId val="321192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Vendas em R$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70768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Vendas por dia útil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5'!$D$1</c:f>
            </c:strRef>
          </c:tx>
          <c:marker>
            <c:symbol val="none"/>
          </c:marker>
          <c:val>
            <c:numRef>
              <c:f>'Exemplo 5'!$D$2:$D$25</c:f>
            </c:numRef>
          </c:val>
          <c:smooth val="0"/>
        </c:ser>
        <c:axId val="2107802803"/>
        <c:axId val="12692749"/>
      </c:lineChart>
      <c:catAx>
        <c:axId val="2107802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92749"/>
      </c:catAx>
      <c:valAx>
        <c:axId val="12692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Vendas por dia útil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78028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Aumento de vendas por dia útil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5'!$E$1</c:f>
            </c:strRef>
          </c:tx>
          <c:marker>
            <c:symbol val="none"/>
          </c:marker>
          <c:val>
            <c:numRef>
              <c:f>'Exemplo 5'!$E$2:$E$23</c:f>
            </c:numRef>
          </c:val>
          <c:smooth val="0"/>
        </c:ser>
        <c:axId val="1488513184"/>
        <c:axId val="262805592"/>
      </c:lineChart>
      <c:catAx>
        <c:axId val="1488513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805592"/>
      </c:catAx>
      <c:valAx>
        <c:axId val="262805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Aumento de vendas por dia útil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85131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Visitantes no Site por dia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6'!$B$1</c:f>
            </c:strRef>
          </c:tx>
          <c:marker>
            <c:symbol val="none"/>
          </c:marker>
          <c:cat>
            <c:strRef>
              <c:f>'Exemplo 6'!$A$2:$A$60</c:f>
            </c:strRef>
          </c:cat>
          <c:val>
            <c:numRef>
              <c:f>'Exemplo 6'!$B$2:$B$60</c:f>
            </c:numRef>
          </c:val>
          <c:smooth val="0"/>
        </c:ser>
        <c:axId val="1081492592"/>
        <c:axId val="1005962199"/>
      </c:lineChart>
      <c:catAx>
        <c:axId val="1081492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Data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962199"/>
      </c:catAx>
      <c:valAx>
        <c:axId val="1005962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Visitantes no Site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4925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Visitantes no Site por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7'!$B$1</c:f>
            </c:strRef>
          </c:tx>
          <c:marker>
            <c:symbol val="none"/>
          </c:marker>
          <c:cat>
            <c:strRef>
              <c:f>'Exemplo 7'!$A$2:$A$25</c:f>
            </c:strRef>
          </c:cat>
          <c:val>
            <c:numRef>
              <c:f>'Exemplo 7'!$B$2:$B$25</c:f>
            </c:numRef>
          </c:val>
          <c:smooth val="0"/>
        </c:ser>
        <c:axId val="136620743"/>
        <c:axId val="1333033475"/>
      </c:lineChart>
      <c:catAx>
        <c:axId val="136620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Mês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033475"/>
      </c:catAx>
      <c:valAx>
        <c:axId val="13330334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Visitantes no Site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207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Visitantes no site por dia de FDS por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7'!$D$1</c:f>
            </c:strRef>
          </c:tx>
          <c:marker>
            <c:symbol val="none"/>
          </c:marker>
          <c:val>
            <c:numRef>
              <c:f>'Exemplo 7'!$D$2:$D$25</c:f>
            </c:numRef>
          </c:val>
          <c:smooth val="0"/>
        </c:ser>
        <c:axId val="1664091340"/>
        <c:axId val="111945147"/>
      </c:lineChart>
      <c:catAx>
        <c:axId val="1664091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945147"/>
      </c:catAx>
      <c:valAx>
        <c:axId val="111945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Visitantes no site por dia de FDS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40913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647700</xdr:colOff>
      <xdr:row>1</xdr:row>
      <xdr:rowOff>152400</xdr:rowOff>
    </xdr:from>
    <xdr:ext cx="3457575" cy="21336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523875</xdr:colOff>
      <xdr:row>1</xdr:row>
      <xdr:rowOff>152400</xdr:rowOff>
    </xdr:from>
    <xdr:ext cx="3257550" cy="2009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600075</xdr:colOff>
      <xdr:row>13</xdr:row>
      <xdr:rowOff>19050</xdr:rowOff>
    </xdr:from>
    <xdr:ext cx="3562350" cy="22002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800100</xdr:colOff>
      <xdr:row>0</xdr:row>
      <xdr:rowOff>95250</xdr:rowOff>
    </xdr:from>
    <xdr:ext cx="3000375" cy="18573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800100</xdr:colOff>
      <xdr:row>10</xdr:row>
      <xdr:rowOff>152400</xdr:rowOff>
    </xdr:from>
    <xdr:ext cx="3133725" cy="19335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857250</xdr:colOff>
      <xdr:row>22</xdr:row>
      <xdr:rowOff>66675</xdr:rowOff>
    </xdr:from>
    <xdr:ext cx="3257550" cy="2009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228600</xdr:colOff>
      <xdr:row>0</xdr:row>
      <xdr:rowOff>0</xdr:rowOff>
    </xdr:from>
    <xdr:ext cx="3286125" cy="20288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228600</xdr:colOff>
      <xdr:row>11</xdr:row>
      <xdr:rowOff>57150</xdr:rowOff>
    </xdr:from>
    <xdr:ext cx="3276600" cy="20288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228600</xdr:colOff>
      <xdr:row>23</xdr:row>
      <xdr:rowOff>19050</xdr:rowOff>
    </xdr:from>
    <xdr:ext cx="3286125" cy="202882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571500</xdr:colOff>
      <xdr:row>0</xdr:row>
      <xdr:rowOff>114300</xdr:rowOff>
    </xdr:from>
    <xdr:ext cx="3952875" cy="243840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0</xdr:row>
      <xdr:rowOff>85725</xdr:rowOff>
    </xdr:from>
    <xdr:ext cx="3752850" cy="1866900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428625</xdr:colOff>
      <xdr:row>12</xdr:row>
      <xdr:rowOff>114300</xdr:rowOff>
    </xdr:from>
    <xdr:ext cx="2495550" cy="1562100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276225</xdr:colOff>
      <xdr:row>11</xdr:row>
      <xdr:rowOff>123825</xdr:rowOff>
    </xdr:from>
    <xdr:ext cx="3095625" cy="193357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0</xdr:row>
      <xdr:rowOff>47625</xdr:rowOff>
    </xdr:from>
    <xdr:ext cx="5181600" cy="232410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447675</xdr:colOff>
      <xdr:row>0</xdr:row>
      <xdr:rowOff>0</xdr:rowOff>
    </xdr:from>
    <xdr:ext cx="5391150" cy="1666875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352425</xdr:colOff>
      <xdr:row>9</xdr:row>
      <xdr:rowOff>114300</xdr:rowOff>
    </xdr:from>
    <xdr:ext cx="5753100" cy="1971675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" width="14.43"/>
    <col customWidth="1" min="3" max="3" width="17.0"/>
    <col customWidth="1" min="4" max="4" width="19.71"/>
    <col customWidth="1" min="5" max="6" width="14.4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</row>
    <row r="2" ht="15.75" customHeight="1">
      <c r="A2" s="4">
        <v>41640.0</v>
      </c>
      <c r="B2" s="5">
        <v>10.0</v>
      </c>
      <c r="C2" s="6">
        <f t="shared" ref="C2:D2" si="1">B3 - B2</f>
        <v>10</v>
      </c>
      <c r="D2" s="6">
        <f t="shared" si="1"/>
        <v>3</v>
      </c>
    </row>
    <row r="3" ht="15.75" customHeight="1">
      <c r="A3" s="4">
        <v>41671.0</v>
      </c>
      <c r="B3" s="5">
        <v>20.0</v>
      </c>
      <c r="C3" s="6">
        <f t="shared" ref="C3:D3" si="2">B4 - B3</f>
        <v>13</v>
      </c>
      <c r="D3" s="6">
        <f t="shared" si="2"/>
        <v>1</v>
      </c>
    </row>
    <row r="4" ht="15.75" customHeight="1">
      <c r="A4" s="4">
        <v>41699.0</v>
      </c>
      <c r="B4" s="5">
        <v>33.0</v>
      </c>
      <c r="C4" s="6">
        <f t="shared" ref="C4:D4" si="3">B5 - B4</f>
        <v>14</v>
      </c>
      <c r="D4" s="6">
        <f t="shared" si="3"/>
        <v>2</v>
      </c>
    </row>
    <row r="5" ht="15.75" customHeight="1">
      <c r="A5" s="4">
        <v>41730.0</v>
      </c>
      <c r="B5" s="5">
        <v>47.0</v>
      </c>
      <c r="C5" s="6">
        <f t="shared" ref="C5:D5" si="4">B6 - B5</f>
        <v>16</v>
      </c>
      <c r="D5" s="6">
        <f t="shared" si="4"/>
        <v>2</v>
      </c>
    </row>
    <row r="6" ht="15.75" customHeight="1">
      <c r="A6" s="4">
        <v>41760.0</v>
      </c>
      <c r="B6" s="5">
        <v>63.0</v>
      </c>
      <c r="C6" s="6">
        <f t="shared" ref="C6:D6" si="5">B7 - B6</f>
        <v>18</v>
      </c>
      <c r="D6" s="6">
        <f t="shared" si="5"/>
        <v>2</v>
      </c>
    </row>
    <row r="7" ht="15.75" customHeight="1">
      <c r="A7" s="4">
        <v>41791.0</v>
      </c>
      <c r="B7" s="5">
        <v>81.0</v>
      </c>
      <c r="C7" s="6">
        <f t="shared" ref="C7:D7" si="6">B8 - B7</f>
        <v>20</v>
      </c>
      <c r="D7" s="6">
        <f t="shared" si="6"/>
        <v>3</v>
      </c>
    </row>
    <row r="8" ht="15.75" customHeight="1">
      <c r="A8" s="4">
        <v>41821.0</v>
      </c>
      <c r="B8" s="5">
        <v>101.0</v>
      </c>
      <c r="C8" s="6">
        <f t="shared" ref="C8:D8" si="7">B9 - B8</f>
        <v>23</v>
      </c>
      <c r="D8" s="6">
        <f t="shared" si="7"/>
        <v>1</v>
      </c>
    </row>
    <row r="9" ht="15.75" customHeight="1">
      <c r="A9" s="4">
        <v>41852.0</v>
      </c>
      <c r="B9" s="5">
        <v>124.0</v>
      </c>
      <c r="C9" s="6">
        <f t="shared" ref="C9:D9" si="8">B10 - B9</f>
        <v>24</v>
      </c>
      <c r="D9" s="6">
        <f t="shared" si="8"/>
        <v>2</v>
      </c>
    </row>
    <row r="10" ht="15.75" customHeight="1">
      <c r="A10" s="4">
        <v>41883.0</v>
      </c>
      <c r="B10" s="5">
        <v>148.0</v>
      </c>
      <c r="C10" s="6">
        <f t="shared" ref="C10:D10" si="9">B11 - B10</f>
        <v>26</v>
      </c>
      <c r="D10" s="6">
        <f t="shared" si="9"/>
        <v>1</v>
      </c>
    </row>
    <row r="11" ht="15.75" customHeight="1">
      <c r="A11" s="4">
        <v>41913.0</v>
      </c>
      <c r="B11" s="5">
        <v>174.0</v>
      </c>
      <c r="C11" s="6">
        <f t="shared" ref="C11:D11" si="10">B12 - B11</f>
        <v>27</v>
      </c>
      <c r="D11" s="6">
        <f t="shared" si="10"/>
        <v>2</v>
      </c>
    </row>
    <row r="12" ht="15.75" customHeight="1">
      <c r="A12" s="4">
        <v>41944.0</v>
      </c>
      <c r="B12" s="5">
        <v>201.0</v>
      </c>
      <c r="C12" s="6">
        <f t="shared" ref="C12:D12" si="11">B13 - B12</f>
        <v>29</v>
      </c>
      <c r="D12" s="6">
        <f t="shared" si="11"/>
        <v>2</v>
      </c>
    </row>
    <row r="13" ht="15.75" customHeight="1">
      <c r="A13" s="4">
        <v>41974.0</v>
      </c>
      <c r="B13" s="5">
        <v>230.0</v>
      </c>
      <c r="C13" s="6">
        <f t="shared" ref="C13:D13" si="12">B14 - B13</f>
        <v>31</v>
      </c>
      <c r="D13" s="6">
        <f t="shared" si="12"/>
        <v>1</v>
      </c>
    </row>
    <row r="14" ht="15.75" customHeight="1">
      <c r="A14" s="4">
        <v>42005.0</v>
      </c>
      <c r="B14" s="5">
        <v>261.0</v>
      </c>
      <c r="C14" s="6">
        <f t="shared" ref="C14:D14" si="13">B15 - B14</f>
        <v>32</v>
      </c>
      <c r="D14" s="6">
        <f t="shared" si="13"/>
        <v>1</v>
      </c>
    </row>
    <row r="15" ht="15.75" customHeight="1">
      <c r="A15" s="4">
        <v>42036.0</v>
      </c>
      <c r="B15" s="5">
        <v>293.0</v>
      </c>
      <c r="C15" s="6">
        <f t="shared" ref="C15:D15" si="14">B16 - B15</f>
        <v>33</v>
      </c>
      <c r="D15" s="6">
        <f t="shared" si="14"/>
        <v>3</v>
      </c>
    </row>
    <row r="16" ht="15.75" customHeight="1">
      <c r="A16" s="4">
        <v>42064.0</v>
      </c>
      <c r="B16" s="5">
        <v>326.0</v>
      </c>
      <c r="C16" s="6">
        <f t="shared" ref="C16:D16" si="15">B17 - B16</f>
        <v>36</v>
      </c>
      <c r="D16" s="6">
        <f t="shared" si="15"/>
        <v>2</v>
      </c>
    </row>
    <row r="17" ht="15.75" customHeight="1">
      <c r="A17" s="4">
        <v>42095.0</v>
      </c>
      <c r="B17" s="5">
        <v>362.0</v>
      </c>
      <c r="C17" s="6">
        <f t="shared" ref="C17:D17" si="16">B18 - B17</f>
        <v>38</v>
      </c>
      <c r="D17" s="6">
        <f t="shared" si="16"/>
        <v>2</v>
      </c>
    </row>
    <row r="18" ht="15.75" customHeight="1">
      <c r="A18" s="4">
        <v>42125.0</v>
      </c>
      <c r="B18" s="5">
        <v>400.0</v>
      </c>
      <c r="C18" s="6">
        <f t="shared" ref="C18:D18" si="17">B19 - B18</f>
        <v>40</v>
      </c>
      <c r="D18" s="6">
        <f t="shared" si="17"/>
        <v>3</v>
      </c>
    </row>
    <row r="19" ht="15.75" customHeight="1">
      <c r="A19" s="4">
        <v>42156.0</v>
      </c>
      <c r="B19" s="5">
        <v>440.0</v>
      </c>
      <c r="C19" s="6">
        <f t="shared" ref="C19:D19" si="18">B20 - B19</f>
        <v>43</v>
      </c>
      <c r="D19" s="6">
        <f t="shared" si="18"/>
        <v>1</v>
      </c>
    </row>
    <row r="20" ht="15.75" customHeight="1">
      <c r="A20" s="4">
        <v>42186.0</v>
      </c>
      <c r="B20" s="5">
        <v>483.0</v>
      </c>
      <c r="C20" s="6">
        <f t="shared" ref="C20:D20" si="19">B21 - B20</f>
        <v>44</v>
      </c>
      <c r="D20" s="6">
        <f t="shared" si="19"/>
        <v>2</v>
      </c>
    </row>
    <row r="21" ht="15.75" customHeight="1">
      <c r="A21" s="4">
        <v>42217.0</v>
      </c>
      <c r="B21" s="5">
        <v>527.0</v>
      </c>
      <c r="C21" s="6">
        <f t="shared" ref="C21:D21" si="20">B22 - B21</f>
        <v>46</v>
      </c>
      <c r="D21" s="6">
        <f t="shared" si="20"/>
        <v>2</v>
      </c>
    </row>
    <row r="22" ht="15.75" customHeight="1">
      <c r="A22" s="4">
        <v>42248.0</v>
      </c>
      <c r="B22" s="5">
        <v>573.0</v>
      </c>
      <c r="C22" s="6">
        <f t="shared" ref="C22:D22" si="21">B23 - B22</f>
        <v>48</v>
      </c>
      <c r="D22" s="6">
        <f t="shared" si="21"/>
        <v>1</v>
      </c>
    </row>
    <row r="23" ht="15.75" customHeight="1">
      <c r="A23" s="4">
        <v>42278.0</v>
      </c>
      <c r="B23" s="5">
        <v>621.0</v>
      </c>
      <c r="C23" s="6">
        <f t="shared" ref="C23:D23" si="22">B24 - B23</f>
        <v>49</v>
      </c>
      <c r="D23" s="6">
        <f t="shared" si="22"/>
        <v>2</v>
      </c>
    </row>
    <row r="24" ht="15.75" customHeight="1">
      <c r="A24" s="4">
        <v>42309.0</v>
      </c>
      <c r="B24" s="5">
        <v>670.0</v>
      </c>
      <c r="C24" s="6">
        <f>B25 - B24</f>
        <v>51</v>
      </c>
    </row>
    <row r="25" ht="15.75" customHeight="1">
      <c r="A25" s="4">
        <v>42339.0</v>
      </c>
      <c r="B25" s="5">
        <v>721.0</v>
      </c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29"/>
    <col customWidth="1" min="3" max="3" width="25.43"/>
    <col customWidth="1" min="4" max="4" width="36.71"/>
  </cols>
  <sheetData>
    <row r="1">
      <c r="A1" s="7" t="s">
        <v>0</v>
      </c>
      <c r="B1" s="8" t="s">
        <v>4</v>
      </c>
      <c r="C1" s="9" t="s">
        <v>6</v>
      </c>
      <c r="D1" s="9" t="s">
        <v>8</v>
      </c>
    </row>
    <row r="2">
      <c r="A2" s="10">
        <v>41640.0</v>
      </c>
      <c r="B2" s="11">
        <v>0.0</v>
      </c>
      <c r="C2" s="6">
        <f t="shared" ref="C2:D2" si="1">B3-B2</f>
        <v>10</v>
      </c>
      <c r="D2" s="6">
        <f t="shared" si="1"/>
        <v>1</v>
      </c>
    </row>
    <row r="3">
      <c r="A3" s="10">
        <v>41671.0</v>
      </c>
      <c r="B3" s="11">
        <v>10.0</v>
      </c>
      <c r="C3" s="6">
        <f t="shared" ref="C3:D3" si="2">B4-B3</f>
        <v>11</v>
      </c>
      <c r="D3" s="6">
        <f t="shared" si="2"/>
        <v>2</v>
      </c>
    </row>
    <row r="4">
      <c r="A4" s="10">
        <v>41699.0</v>
      </c>
      <c r="B4" s="11">
        <v>21.0</v>
      </c>
      <c r="C4" s="6">
        <f t="shared" ref="C4:D4" si="3">B5-B4</f>
        <v>13</v>
      </c>
      <c r="D4" s="6">
        <f t="shared" si="3"/>
        <v>2</v>
      </c>
    </row>
    <row r="5">
      <c r="A5" s="10">
        <v>41730.0</v>
      </c>
      <c r="B5" s="11">
        <v>34.0</v>
      </c>
      <c r="C5" s="6">
        <f t="shared" ref="C5:D5" si="4">B6-B5</f>
        <v>15</v>
      </c>
      <c r="D5" s="6">
        <f t="shared" si="4"/>
        <v>2</v>
      </c>
    </row>
    <row r="6">
      <c r="A6" s="10">
        <v>41760.0</v>
      </c>
      <c r="B6" s="11">
        <v>49.0</v>
      </c>
      <c r="C6" s="6">
        <f t="shared" ref="C6:D6" si="5">B7-B6</f>
        <v>17</v>
      </c>
      <c r="D6" s="6">
        <f t="shared" si="5"/>
        <v>2</v>
      </c>
    </row>
    <row r="7">
      <c r="A7" s="10">
        <v>41791.0</v>
      </c>
      <c r="B7" s="11">
        <v>66.0</v>
      </c>
      <c r="C7" s="6">
        <f t="shared" ref="C7:D7" si="6">B8-B7</f>
        <v>19</v>
      </c>
      <c r="D7" s="6">
        <f t="shared" si="6"/>
        <v>3</v>
      </c>
    </row>
    <row r="8">
      <c r="A8" s="10">
        <v>41821.0</v>
      </c>
      <c r="B8" s="11">
        <v>85.0</v>
      </c>
      <c r="C8" s="6">
        <f t="shared" ref="C8:D8" si="7">B9-B8</f>
        <v>22</v>
      </c>
      <c r="D8" s="6">
        <f t="shared" si="7"/>
        <v>3</v>
      </c>
    </row>
    <row r="9">
      <c r="A9" s="10">
        <v>41852.0</v>
      </c>
      <c r="B9" s="11">
        <v>107.0</v>
      </c>
      <c r="C9" s="6">
        <f t="shared" ref="C9:D9" si="8">B10-B9</f>
        <v>25</v>
      </c>
      <c r="D9" s="6">
        <f t="shared" si="8"/>
        <v>3</v>
      </c>
    </row>
    <row r="10">
      <c r="A10" s="10">
        <v>41883.0</v>
      </c>
      <c r="B10" s="11">
        <v>132.0</v>
      </c>
      <c r="C10" s="6">
        <f t="shared" ref="C10:D10" si="9">B11-B10</f>
        <v>28</v>
      </c>
      <c r="D10" s="6">
        <f t="shared" si="9"/>
        <v>2</v>
      </c>
    </row>
    <row r="11">
      <c r="A11" s="10">
        <v>41913.0</v>
      </c>
      <c r="B11" s="11">
        <v>160.0</v>
      </c>
      <c r="C11" s="6">
        <f t="shared" ref="C11:D11" si="10">B12-B11</f>
        <v>30</v>
      </c>
      <c r="D11" s="6">
        <f t="shared" si="10"/>
        <v>1</v>
      </c>
    </row>
    <row r="12">
      <c r="A12" s="10">
        <v>41944.0</v>
      </c>
      <c r="B12" s="11">
        <v>190.0</v>
      </c>
      <c r="C12" s="6">
        <f t="shared" ref="C12:D12" si="11">B13-B12</f>
        <v>31</v>
      </c>
      <c r="D12" s="6">
        <f t="shared" si="11"/>
        <v>0</v>
      </c>
    </row>
    <row r="13">
      <c r="A13" s="10">
        <v>41974.0</v>
      </c>
      <c r="B13" s="11">
        <v>221.0</v>
      </c>
      <c r="C13" s="6">
        <f t="shared" ref="C13:D13" si="12">B14-B13</f>
        <v>31</v>
      </c>
      <c r="D13" s="6">
        <f t="shared" si="12"/>
        <v>0</v>
      </c>
    </row>
    <row r="14">
      <c r="A14" s="10">
        <v>42005.0</v>
      </c>
      <c r="B14" s="11">
        <v>252.0</v>
      </c>
      <c r="C14" s="6">
        <f t="shared" ref="C14:D14" si="13">B15-B14</f>
        <v>31</v>
      </c>
      <c r="D14" s="6">
        <f t="shared" si="13"/>
        <v>-1</v>
      </c>
    </row>
    <row r="15">
      <c r="A15" s="10">
        <v>42036.0</v>
      </c>
      <c r="B15" s="11">
        <v>283.0</v>
      </c>
      <c r="C15" s="6">
        <f t="shared" ref="C15:D15" si="14">B16-B15</f>
        <v>30</v>
      </c>
      <c r="D15" s="6">
        <f t="shared" si="14"/>
        <v>-2</v>
      </c>
    </row>
    <row r="16">
      <c r="A16" s="10">
        <v>42064.0</v>
      </c>
      <c r="B16" s="11">
        <v>313.0</v>
      </c>
      <c r="C16" s="6">
        <f t="shared" ref="C16:D16" si="15">B17-B16</f>
        <v>28</v>
      </c>
      <c r="D16" s="6">
        <f t="shared" si="15"/>
        <v>-2</v>
      </c>
    </row>
    <row r="17">
      <c r="A17" s="10">
        <v>42095.0</v>
      </c>
      <c r="B17" s="11">
        <v>341.0</v>
      </c>
      <c r="C17" s="6">
        <f t="shared" ref="C17:D17" si="16">B18-B17</f>
        <v>26</v>
      </c>
      <c r="D17" s="6">
        <f t="shared" si="16"/>
        <v>-3</v>
      </c>
    </row>
    <row r="18">
      <c r="A18" s="10">
        <v>42125.0</v>
      </c>
      <c r="B18" s="11">
        <v>367.0</v>
      </c>
      <c r="C18" s="6">
        <f t="shared" ref="C18:D18" si="17">B19-B18</f>
        <v>23</v>
      </c>
      <c r="D18" s="6">
        <f t="shared" si="17"/>
        <v>-3</v>
      </c>
    </row>
    <row r="19">
      <c r="A19" s="10">
        <v>42156.0</v>
      </c>
      <c r="B19" s="11">
        <v>390.0</v>
      </c>
      <c r="C19" s="6">
        <f t="shared" ref="C19:D19" si="18">B20-B19</f>
        <v>20</v>
      </c>
      <c r="D19" s="6">
        <f t="shared" si="18"/>
        <v>-4</v>
      </c>
    </row>
    <row r="20">
      <c r="A20" s="10">
        <v>42186.0</v>
      </c>
      <c r="B20" s="11">
        <v>410.0</v>
      </c>
      <c r="C20" s="6">
        <f t="shared" ref="C20:D20" si="19">B21-B20</f>
        <v>16</v>
      </c>
      <c r="D20" s="6">
        <f t="shared" si="19"/>
        <v>-5</v>
      </c>
    </row>
    <row r="21">
      <c r="A21" s="10">
        <v>42217.0</v>
      </c>
      <c r="B21" s="11">
        <v>426.0</v>
      </c>
      <c r="C21" s="6">
        <f t="shared" ref="C21:D21" si="20">B22-B21</f>
        <v>11</v>
      </c>
      <c r="D21" s="6">
        <f t="shared" si="20"/>
        <v>-4</v>
      </c>
    </row>
    <row r="22">
      <c r="A22" s="10">
        <v>42248.0</v>
      </c>
      <c r="B22" s="11">
        <v>437.0</v>
      </c>
      <c r="C22" s="6">
        <f t="shared" ref="C22:D22" si="21">B23-B22</f>
        <v>7</v>
      </c>
      <c r="D22" s="6">
        <f t="shared" si="21"/>
        <v>-2</v>
      </c>
    </row>
    <row r="23">
      <c r="A23" s="10">
        <v>42278.0</v>
      </c>
      <c r="B23" s="11">
        <v>444.0</v>
      </c>
      <c r="C23" s="6">
        <f t="shared" ref="C23:D23" si="22">B24-B23</f>
        <v>5</v>
      </c>
      <c r="D23" s="6">
        <f t="shared" si="22"/>
        <v>0</v>
      </c>
    </row>
    <row r="24">
      <c r="A24" s="10">
        <v>42309.0</v>
      </c>
      <c r="B24" s="11">
        <v>449.0</v>
      </c>
      <c r="C24" s="6">
        <f>B25-B24</f>
        <v>5</v>
      </c>
    </row>
    <row r="25">
      <c r="A25" s="10">
        <v>42339.0</v>
      </c>
      <c r="B25" s="11">
        <v>454.0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86"/>
    <col customWidth="1" min="3" max="3" width="34.57"/>
    <col customWidth="1" min="4" max="4" width="29.0"/>
  </cols>
  <sheetData>
    <row r="1">
      <c r="A1" s="7" t="s">
        <v>0</v>
      </c>
      <c r="B1" s="8" t="s">
        <v>5</v>
      </c>
      <c r="C1" s="9" t="s">
        <v>7</v>
      </c>
      <c r="D1" s="9" t="s">
        <v>9</v>
      </c>
    </row>
    <row r="2">
      <c r="A2" s="10">
        <v>41640.0</v>
      </c>
      <c r="B2" s="11">
        <v>0.0</v>
      </c>
      <c r="C2" s="6">
        <f t="shared" ref="C2:D2" si="1">B3-B2</f>
        <v>5</v>
      </c>
      <c r="D2" s="6">
        <f t="shared" si="1"/>
        <v>1</v>
      </c>
    </row>
    <row r="3">
      <c r="A3" s="10">
        <v>41671.0</v>
      </c>
      <c r="B3" s="11">
        <v>5.0</v>
      </c>
      <c r="C3" s="6">
        <f t="shared" ref="C3:D3" si="2">B4-B3</f>
        <v>6</v>
      </c>
      <c r="D3" s="6">
        <f t="shared" si="2"/>
        <v>2</v>
      </c>
    </row>
    <row r="4">
      <c r="A4" s="10">
        <v>41699.0</v>
      </c>
      <c r="B4" s="11">
        <v>11.0</v>
      </c>
      <c r="C4" s="6">
        <f t="shared" ref="C4:D4" si="3">B5-B4</f>
        <v>8</v>
      </c>
      <c r="D4" s="6">
        <f t="shared" si="3"/>
        <v>-3</v>
      </c>
    </row>
    <row r="5">
      <c r="A5" s="10">
        <v>41730.0</v>
      </c>
      <c r="B5" s="11">
        <v>19.0</v>
      </c>
      <c r="C5" s="6">
        <f t="shared" ref="C5:D5" si="4">B6-B5</f>
        <v>5</v>
      </c>
      <c r="D5" s="6">
        <f t="shared" si="4"/>
        <v>0</v>
      </c>
    </row>
    <row r="6">
      <c r="A6" s="10">
        <v>41760.0</v>
      </c>
      <c r="B6" s="11">
        <v>24.0</v>
      </c>
      <c r="C6" s="6">
        <f t="shared" ref="C6:D6" si="5">B7-B6</f>
        <v>5</v>
      </c>
      <c r="D6" s="6">
        <f t="shared" si="5"/>
        <v>-3</v>
      </c>
    </row>
    <row r="7">
      <c r="A7" s="10">
        <v>41791.0</v>
      </c>
      <c r="B7" s="11">
        <v>29.0</v>
      </c>
      <c r="C7" s="6">
        <f t="shared" ref="C7:D7" si="6">B8-B7</f>
        <v>2</v>
      </c>
      <c r="D7" s="6">
        <f t="shared" si="6"/>
        <v>4</v>
      </c>
    </row>
    <row r="8">
      <c r="A8" s="10">
        <v>41821.0</v>
      </c>
      <c r="B8" s="11">
        <v>31.0</v>
      </c>
      <c r="C8" s="6">
        <f t="shared" ref="C8:D8" si="7">B9-B8</f>
        <v>6</v>
      </c>
      <c r="D8" s="6">
        <f t="shared" si="7"/>
        <v>4</v>
      </c>
    </row>
    <row r="9">
      <c r="A9" s="10">
        <v>41852.0</v>
      </c>
      <c r="B9" s="11">
        <v>37.0</v>
      </c>
      <c r="C9" s="6">
        <f t="shared" ref="C9:D9" si="8">B10-B9</f>
        <v>10</v>
      </c>
      <c r="D9" s="6">
        <f t="shared" si="8"/>
        <v>5</v>
      </c>
    </row>
    <row r="10">
      <c r="A10" s="10">
        <v>41883.0</v>
      </c>
      <c r="B10" s="11">
        <v>47.0</v>
      </c>
      <c r="C10" s="6">
        <f t="shared" ref="C10:D10" si="9">B11-B10</f>
        <v>15</v>
      </c>
      <c r="D10" s="6">
        <f t="shared" si="9"/>
        <v>2</v>
      </c>
    </row>
    <row r="11">
      <c r="A11" s="10">
        <v>41913.0</v>
      </c>
      <c r="B11" s="11">
        <v>62.0</v>
      </c>
      <c r="C11" s="6">
        <f t="shared" ref="C11:D11" si="10">B12-B11</f>
        <v>17</v>
      </c>
      <c r="D11" s="6">
        <f t="shared" si="10"/>
        <v>3</v>
      </c>
    </row>
    <row r="12">
      <c r="A12" s="10">
        <v>41944.0</v>
      </c>
      <c r="B12" s="11">
        <v>79.0</v>
      </c>
      <c r="C12" s="6">
        <f t="shared" ref="C12:D12" si="11">B13-B12</f>
        <v>20</v>
      </c>
      <c r="D12" s="6">
        <f t="shared" si="11"/>
        <v>0</v>
      </c>
    </row>
    <row r="13">
      <c r="A13" s="10">
        <v>41974.0</v>
      </c>
      <c r="B13" s="11">
        <v>99.0</v>
      </c>
      <c r="C13" s="6">
        <f t="shared" ref="C13:D13" si="12">B14-B13</f>
        <v>20</v>
      </c>
      <c r="D13" s="6">
        <f t="shared" si="12"/>
        <v>3</v>
      </c>
    </row>
    <row r="14">
      <c r="A14" s="10">
        <v>42005.0</v>
      </c>
      <c r="B14" s="11">
        <v>119.0</v>
      </c>
      <c r="C14" s="6">
        <f t="shared" ref="C14:D14" si="13">B15-B14</f>
        <v>23</v>
      </c>
      <c r="D14" s="6">
        <f t="shared" si="13"/>
        <v>0</v>
      </c>
    </row>
    <row r="15">
      <c r="A15" s="10">
        <v>42036.0</v>
      </c>
      <c r="B15" s="11">
        <v>142.0</v>
      </c>
      <c r="C15" s="6">
        <f t="shared" ref="C15:D15" si="14">B16-B15</f>
        <v>23</v>
      </c>
      <c r="D15" s="6">
        <f t="shared" si="14"/>
        <v>-5</v>
      </c>
    </row>
    <row r="16">
      <c r="A16" s="10">
        <v>42064.0</v>
      </c>
      <c r="B16" s="11">
        <v>165.0</v>
      </c>
      <c r="C16" s="6">
        <f t="shared" ref="C16:D16" si="15">B17-B16</f>
        <v>18</v>
      </c>
      <c r="D16" s="6">
        <f t="shared" si="15"/>
        <v>2</v>
      </c>
    </row>
    <row r="17">
      <c r="A17" s="10">
        <v>42095.0</v>
      </c>
      <c r="B17" s="11">
        <v>183.0</v>
      </c>
      <c r="C17" s="6">
        <f t="shared" ref="C17:D17" si="16">B18-B17</f>
        <v>20</v>
      </c>
      <c r="D17" s="6">
        <f t="shared" si="16"/>
        <v>2</v>
      </c>
    </row>
    <row r="18">
      <c r="A18" s="10">
        <v>42125.0</v>
      </c>
      <c r="B18" s="11">
        <v>203.0</v>
      </c>
      <c r="C18" s="6">
        <f t="shared" ref="C18:D18" si="17">B19-B18</f>
        <v>22</v>
      </c>
      <c r="D18" s="6">
        <f t="shared" si="17"/>
        <v>-3</v>
      </c>
    </row>
    <row r="19">
      <c r="A19" s="10">
        <v>42156.0</v>
      </c>
      <c r="B19" s="11">
        <v>225.0</v>
      </c>
      <c r="C19" s="6">
        <f t="shared" ref="C19:D19" si="18">B20-B19</f>
        <v>19</v>
      </c>
      <c r="D19" s="6">
        <f t="shared" si="18"/>
        <v>-1</v>
      </c>
    </row>
    <row r="20">
      <c r="A20" s="10">
        <v>42186.0</v>
      </c>
      <c r="B20" s="11">
        <v>244.0</v>
      </c>
      <c r="C20" s="6">
        <f t="shared" ref="C20:D20" si="19">B21-B20</f>
        <v>18</v>
      </c>
      <c r="D20" s="6">
        <f t="shared" si="19"/>
        <v>2</v>
      </c>
    </row>
    <row r="21">
      <c r="A21" s="10">
        <v>42217.0</v>
      </c>
      <c r="B21" s="11">
        <v>262.0</v>
      </c>
      <c r="C21" s="6">
        <f t="shared" ref="C21:D21" si="20">B22-B21</f>
        <v>20</v>
      </c>
      <c r="D21" s="6">
        <f t="shared" si="20"/>
        <v>-1</v>
      </c>
    </row>
    <row r="22">
      <c r="A22" s="10">
        <v>42248.0</v>
      </c>
      <c r="B22" s="11">
        <v>282.0</v>
      </c>
      <c r="C22" s="6">
        <f t="shared" ref="C22:D22" si="21">B23-B22</f>
        <v>19</v>
      </c>
      <c r="D22" s="6">
        <f t="shared" si="21"/>
        <v>5</v>
      </c>
    </row>
    <row r="23">
      <c r="A23" s="10">
        <v>42278.0</v>
      </c>
      <c r="B23" s="11">
        <v>301.0</v>
      </c>
      <c r="C23" s="6">
        <f t="shared" ref="C23:D23" si="22">B24-B23</f>
        <v>24</v>
      </c>
      <c r="D23" s="6">
        <f t="shared" si="22"/>
        <v>2</v>
      </c>
    </row>
    <row r="24">
      <c r="A24" s="10">
        <v>42309.0</v>
      </c>
      <c r="B24" s="11">
        <v>325.0</v>
      </c>
      <c r="C24" s="6">
        <f>B25-B24</f>
        <v>26</v>
      </c>
    </row>
    <row r="25">
      <c r="A25" s="10">
        <v>42339.0</v>
      </c>
      <c r="B25" s="11">
        <v>351.0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57"/>
  </cols>
  <sheetData>
    <row r="1">
      <c r="A1" s="8" t="s">
        <v>10</v>
      </c>
      <c r="B1" s="8" t="s">
        <v>11</v>
      </c>
    </row>
    <row r="2">
      <c r="A2" s="12">
        <v>42005.0</v>
      </c>
      <c r="B2" s="11">
        <v>51.0</v>
      </c>
    </row>
    <row r="3">
      <c r="A3" s="12">
        <v>42006.0</v>
      </c>
      <c r="B3" s="11">
        <v>54.0</v>
      </c>
    </row>
    <row r="4">
      <c r="A4" s="12">
        <v>42007.0</v>
      </c>
      <c r="B4" s="11">
        <v>18.0</v>
      </c>
    </row>
    <row r="5">
      <c r="A5" s="12">
        <v>42008.0</v>
      </c>
      <c r="B5" s="11">
        <v>19.0</v>
      </c>
    </row>
    <row r="6">
      <c r="A6" s="12">
        <v>42009.0</v>
      </c>
      <c r="B6" s="11">
        <v>57.0</v>
      </c>
    </row>
    <row r="7">
      <c r="A7" s="12">
        <v>42010.0</v>
      </c>
      <c r="B7" s="11">
        <v>58.0</v>
      </c>
    </row>
    <row r="8">
      <c r="A8" s="12">
        <v>42011.0</v>
      </c>
      <c r="B8" s="11">
        <v>53.0</v>
      </c>
    </row>
    <row r="9">
      <c r="A9" s="12">
        <v>42012.0</v>
      </c>
      <c r="B9" s="11">
        <v>59.0</v>
      </c>
    </row>
    <row r="10">
      <c r="A10" s="12">
        <v>42013.0</v>
      </c>
      <c r="B10" s="11">
        <v>58.0</v>
      </c>
    </row>
    <row r="11">
      <c r="A11" s="12">
        <v>42014.0</v>
      </c>
      <c r="B11" s="11">
        <v>14.0</v>
      </c>
    </row>
    <row r="12">
      <c r="A12" s="12">
        <v>42015.0</v>
      </c>
      <c r="B12" s="11">
        <v>17.0</v>
      </c>
    </row>
    <row r="13">
      <c r="A13" s="12">
        <v>42016.0</v>
      </c>
      <c r="B13" s="11">
        <v>55.0</v>
      </c>
    </row>
    <row r="14">
      <c r="A14" s="12">
        <v>42017.0</v>
      </c>
      <c r="B14" s="11">
        <v>56.0</v>
      </c>
    </row>
    <row r="15">
      <c r="A15" s="12">
        <v>42018.0</v>
      </c>
      <c r="B15" s="11">
        <v>59.0</v>
      </c>
    </row>
    <row r="16">
      <c r="A16" s="12">
        <v>42019.0</v>
      </c>
      <c r="B16" s="11">
        <v>51.0</v>
      </c>
    </row>
    <row r="17">
      <c r="A17" s="12">
        <v>42020.0</v>
      </c>
      <c r="B17" s="11">
        <v>58.0</v>
      </c>
    </row>
    <row r="18">
      <c r="A18" s="12">
        <v>42021.0</v>
      </c>
      <c r="B18" s="11">
        <v>14.0</v>
      </c>
    </row>
    <row r="19">
      <c r="A19" s="12">
        <v>42022.0</v>
      </c>
      <c r="B19" s="11">
        <v>20.0</v>
      </c>
    </row>
    <row r="20">
      <c r="A20" s="12">
        <v>42023.0</v>
      </c>
      <c r="B20" s="11">
        <v>59.0</v>
      </c>
    </row>
    <row r="21">
      <c r="A21" s="12">
        <v>42024.0</v>
      </c>
      <c r="B21" s="11">
        <v>56.0</v>
      </c>
    </row>
    <row r="22">
      <c r="A22" s="12">
        <v>42025.0</v>
      </c>
      <c r="B22" s="11">
        <v>55.0</v>
      </c>
    </row>
    <row r="23">
      <c r="A23" s="12">
        <v>42026.0</v>
      </c>
      <c r="B23" s="11">
        <v>58.0</v>
      </c>
    </row>
    <row r="24">
      <c r="A24" s="12">
        <v>42027.0</v>
      </c>
      <c r="B24" s="11">
        <v>51.0</v>
      </c>
    </row>
    <row r="25">
      <c r="A25" s="12">
        <v>42028.0</v>
      </c>
      <c r="B25" s="11">
        <v>18.0</v>
      </c>
    </row>
    <row r="26">
      <c r="A26" s="12">
        <v>42029.0</v>
      </c>
      <c r="B26" s="11">
        <v>13.0</v>
      </c>
    </row>
    <row r="27">
      <c r="A27" s="12">
        <v>42030.0</v>
      </c>
      <c r="B27" s="11">
        <v>55.0</v>
      </c>
    </row>
    <row r="28">
      <c r="A28" s="12">
        <v>42031.0</v>
      </c>
      <c r="B28" s="11">
        <v>50.0</v>
      </c>
    </row>
    <row r="29">
      <c r="A29" s="12">
        <v>42032.0</v>
      </c>
      <c r="B29" s="11">
        <v>55.0</v>
      </c>
    </row>
    <row r="30">
      <c r="A30" s="12">
        <v>42033.0</v>
      </c>
      <c r="B30" s="11">
        <v>53.0</v>
      </c>
    </row>
    <row r="31">
      <c r="A31" s="12">
        <v>42034.0</v>
      </c>
      <c r="B31" s="11">
        <v>57.0</v>
      </c>
    </row>
    <row r="32">
      <c r="A32" s="12">
        <v>42035.0</v>
      </c>
      <c r="B32" s="11">
        <v>12.0</v>
      </c>
    </row>
    <row r="33">
      <c r="A33" s="12">
        <v>42036.0</v>
      </c>
      <c r="B33" s="11">
        <v>18.0</v>
      </c>
    </row>
    <row r="34">
      <c r="A34" s="12">
        <v>42037.0</v>
      </c>
      <c r="B34" s="11">
        <v>58.0</v>
      </c>
    </row>
    <row r="35">
      <c r="A35" s="12">
        <v>42038.0</v>
      </c>
      <c r="B35" s="11">
        <v>55.0</v>
      </c>
    </row>
    <row r="36">
      <c r="A36" s="12">
        <v>42039.0</v>
      </c>
      <c r="B36" s="11">
        <v>51.0</v>
      </c>
    </row>
    <row r="37">
      <c r="A37" s="12">
        <v>42040.0</v>
      </c>
      <c r="B37" s="11">
        <v>56.0</v>
      </c>
    </row>
    <row r="38">
      <c r="A38" s="12">
        <v>42041.0</v>
      </c>
      <c r="B38" s="11">
        <v>51.0</v>
      </c>
    </row>
    <row r="39">
      <c r="A39" s="12">
        <v>42042.0</v>
      </c>
      <c r="B39" s="11">
        <v>17.0</v>
      </c>
    </row>
    <row r="40">
      <c r="A40" s="12">
        <v>42043.0</v>
      </c>
      <c r="B40" s="11">
        <v>11.0</v>
      </c>
    </row>
    <row r="41">
      <c r="A41" s="12">
        <v>42044.0</v>
      </c>
      <c r="B41" s="11">
        <v>50.0</v>
      </c>
    </row>
    <row r="42">
      <c r="A42" s="12">
        <v>42045.0</v>
      </c>
      <c r="B42" s="11">
        <v>53.0</v>
      </c>
    </row>
    <row r="43">
      <c r="A43" s="12">
        <v>42046.0</v>
      </c>
      <c r="B43" s="11">
        <v>51.0</v>
      </c>
    </row>
    <row r="44">
      <c r="A44" s="12">
        <v>42047.0</v>
      </c>
      <c r="B44" s="11">
        <v>55.0</v>
      </c>
    </row>
    <row r="45">
      <c r="A45" s="12">
        <v>42048.0</v>
      </c>
      <c r="B45" s="11">
        <v>59.0</v>
      </c>
    </row>
    <row r="46">
      <c r="A46" s="12">
        <v>42049.0</v>
      </c>
      <c r="B46" s="11">
        <v>12.0</v>
      </c>
    </row>
    <row r="47">
      <c r="A47" s="12">
        <v>42050.0</v>
      </c>
      <c r="B47" s="11">
        <v>18.0</v>
      </c>
    </row>
    <row r="48">
      <c r="A48" s="12">
        <v>42051.0</v>
      </c>
      <c r="B48" s="11">
        <v>57.0</v>
      </c>
    </row>
    <row r="49">
      <c r="A49" s="12">
        <v>42052.0</v>
      </c>
      <c r="B49" s="11">
        <v>51.0</v>
      </c>
    </row>
    <row r="50">
      <c r="A50" s="12">
        <v>42053.0</v>
      </c>
      <c r="B50" s="11">
        <v>54.0</v>
      </c>
    </row>
    <row r="51">
      <c r="A51" s="12">
        <v>42054.0</v>
      </c>
      <c r="B51" s="11">
        <v>60.0</v>
      </c>
    </row>
    <row r="52">
      <c r="A52" s="12">
        <v>42055.0</v>
      </c>
      <c r="B52" s="11">
        <v>53.0</v>
      </c>
    </row>
    <row r="53">
      <c r="A53" s="12">
        <v>42056.0</v>
      </c>
      <c r="B53" s="11">
        <v>17.0</v>
      </c>
    </row>
    <row r="54">
      <c r="A54" s="12">
        <v>42057.0</v>
      </c>
      <c r="B54" s="11">
        <v>13.0</v>
      </c>
    </row>
    <row r="55">
      <c r="A55" s="12">
        <v>42058.0</v>
      </c>
      <c r="B55" s="11">
        <v>58.0</v>
      </c>
    </row>
    <row r="56">
      <c r="A56" s="12">
        <v>42059.0</v>
      </c>
      <c r="B56" s="11">
        <v>52.0</v>
      </c>
    </row>
    <row r="57">
      <c r="A57" s="12">
        <v>42060.0</v>
      </c>
      <c r="B57" s="11">
        <v>56.0</v>
      </c>
    </row>
    <row r="58">
      <c r="A58" s="12">
        <v>42061.0</v>
      </c>
      <c r="B58" s="11">
        <v>56.0</v>
      </c>
    </row>
    <row r="59">
      <c r="A59" s="12">
        <v>42062.0</v>
      </c>
      <c r="B59" s="11">
        <v>56.0</v>
      </c>
    </row>
    <row r="60">
      <c r="A60" s="12">
        <v>42063.0</v>
      </c>
      <c r="B60" s="11">
        <v>19.0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7.29"/>
    <col customWidth="1" min="5" max="5" width="26.43"/>
  </cols>
  <sheetData>
    <row r="1">
      <c r="A1" s="7" t="s">
        <v>0</v>
      </c>
      <c r="B1" s="7" t="s">
        <v>13</v>
      </c>
      <c r="C1" s="9" t="s">
        <v>14</v>
      </c>
      <c r="D1" s="9" t="s">
        <v>15</v>
      </c>
      <c r="E1" s="9" t="s">
        <v>16</v>
      </c>
    </row>
    <row r="2">
      <c r="A2" s="10">
        <v>41640.0</v>
      </c>
      <c r="B2" s="11">
        <v>2420.0</v>
      </c>
      <c r="C2" s="11">
        <v>22.0</v>
      </c>
      <c r="D2" s="6">
        <f t="shared" ref="D2:D25" si="1">B2/C2</f>
        <v>110</v>
      </c>
      <c r="E2" s="6">
        <f t="shared" ref="E2:E23" si="2">D3-D2</f>
        <v>90</v>
      </c>
    </row>
    <row r="3">
      <c r="A3" s="10">
        <v>41671.0</v>
      </c>
      <c r="B3" s="11">
        <v>4000.0</v>
      </c>
      <c r="C3" s="11">
        <v>20.0</v>
      </c>
      <c r="D3" s="6">
        <f t="shared" si="1"/>
        <v>200</v>
      </c>
      <c r="E3" s="6">
        <f t="shared" si="2"/>
        <v>124</v>
      </c>
    </row>
    <row r="4">
      <c r="A4" s="10">
        <v>41699.0</v>
      </c>
      <c r="B4" s="11">
        <v>5832.0</v>
      </c>
      <c r="C4" s="11">
        <v>18.0</v>
      </c>
      <c r="D4" s="6">
        <f t="shared" si="1"/>
        <v>324</v>
      </c>
      <c r="E4" s="6">
        <f t="shared" si="2"/>
        <v>156</v>
      </c>
    </row>
    <row r="5">
      <c r="A5" s="10">
        <v>41730.0</v>
      </c>
      <c r="B5" s="11">
        <v>9600.0</v>
      </c>
      <c r="C5" s="11">
        <v>20.0</v>
      </c>
      <c r="D5" s="6">
        <f t="shared" si="1"/>
        <v>480</v>
      </c>
      <c r="E5" s="6">
        <f t="shared" si="2"/>
        <v>150</v>
      </c>
    </row>
    <row r="6">
      <c r="A6" s="10">
        <v>41760.0</v>
      </c>
      <c r="B6" s="11">
        <v>13230.0</v>
      </c>
      <c r="C6" s="11">
        <v>21.0</v>
      </c>
      <c r="D6" s="6">
        <f t="shared" si="1"/>
        <v>630</v>
      </c>
      <c r="E6" s="6">
        <f t="shared" si="2"/>
        <v>190</v>
      </c>
    </row>
    <row r="7">
      <c r="A7" s="10">
        <v>41791.0</v>
      </c>
      <c r="B7" s="11">
        <v>16400.0</v>
      </c>
      <c r="C7" s="11">
        <v>20.0</v>
      </c>
      <c r="D7" s="6">
        <f t="shared" si="1"/>
        <v>820</v>
      </c>
      <c r="E7" s="6">
        <f t="shared" si="2"/>
        <v>192</v>
      </c>
    </row>
    <row r="8">
      <c r="A8" s="10">
        <v>41821.0</v>
      </c>
      <c r="B8" s="11">
        <v>22264.0</v>
      </c>
      <c r="C8" s="11">
        <v>22.0</v>
      </c>
      <c r="D8" s="6">
        <f t="shared" si="1"/>
        <v>1012</v>
      </c>
      <c r="E8" s="6">
        <f t="shared" si="2"/>
        <v>227</v>
      </c>
    </row>
    <row r="9">
      <c r="A9" s="10">
        <v>41852.0</v>
      </c>
      <c r="B9" s="11">
        <v>26019.0</v>
      </c>
      <c r="C9" s="11">
        <v>21.0</v>
      </c>
      <c r="D9" s="6">
        <f t="shared" si="1"/>
        <v>1239</v>
      </c>
      <c r="E9" s="6">
        <f t="shared" si="2"/>
        <v>235</v>
      </c>
    </row>
    <row r="10">
      <c r="A10" s="10">
        <v>41883.0</v>
      </c>
      <c r="B10" s="11">
        <v>32428.0</v>
      </c>
      <c r="C10" s="11">
        <v>22.0</v>
      </c>
      <c r="D10" s="6">
        <f t="shared" si="1"/>
        <v>1474</v>
      </c>
      <c r="E10" s="6">
        <f t="shared" si="2"/>
        <v>274</v>
      </c>
    </row>
    <row r="11">
      <c r="A11" s="10">
        <v>41913.0</v>
      </c>
      <c r="B11" s="11">
        <v>40204.0</v>
      </c>
      <c r="C11" s="11">
        <v>23.0</v>
      </c>
      <c r="D11" s="6">
        <f t="shared" si="1"/>
        <v>1748</v>
      </c>
      <c r="E11" s="6">
        <f t="shared" si="2"/>
        <v>272</v>
      </c>
    </row>
    <row r="12">
      <c r="A12" s="10">
        <v>41944.0</v>
      </c>
      <c r="B12" s="11">
        <v>40400.0</v>
      </c>
      <c r="C12" s="11">
        <v>20.0</v>
      </c>
      <c r="D12" s="6">
        <f t="shared" si="1"/>
        <v>2020</v>
      </c>
      <c r="E12" s="6">
        <f t="shared" si="2"/>
        <v>290</v>
      </c>
    </row>
    <row r="13">
      <c r="A13" s="10">
        <v>41974.0</v>
      </c>
      <c r="B13" s="11">
        <v>50820.0</v>
      </c>
      <c r="C13" s="11">
        <v>22.0</v>
      </c>
      <c r="D13" s="6">
        <f t="shared" si="1"/>
        <v>2310</v>
      </c>
      <c r="E13" s="6">
        <f t="shared" si="2"/>
        <v>294</v>
      </c>
    </row>
    <row r="14">
      <c r="A14" s="10">
        <v>42005.0</v>
      </c>
      <c r="B14" s="11">
        <v>54684.0</v>
      </c>
      <c r="C14" s="11">
        <v>21.0</v>
      </c>
      <c r="D14" s="6">
        <f t="shared" si="1"/>
        <v>2604</v>
      </c>
      <c r="E14" s="6">
        <f t="shared" si="2"/>
        <v>320</v>
      </c>
    </row>
    <row r="15">
      <c r="A15" s="10">
        <v>42036.0</v>
      </c>
      <c r="B15" s="11">
        <v>49708.0</v>
      </c>
      <c r="C15" s="11">
        <v>17.0</v>
      </c>
      <c r="D15" s="6">
        <f t="shared" si="1"/>
        <v>2924</v>
      </c>
      <c r="E15" s="6">
        <f t="shared" si="2"/>
        <v>332</v>
      </c>
    </row>
    <row r="16">
      <c r="A16" s="10">
        <v>42064.0</v>
      </c>
      <c r="B16" s="11">
        <v>71632.0</v>
      </c>
      <c r="C16" s="11">
        <v>22.0</v>
      </c>
      <c r="D16" s="6">
        <f t="shared" si="1"/>
        <v>3256</v>
      </c>
      <c r="E16" s="6">
        <f t="shared" si="2"/>
        <v>364</v>
      </c>
    </row>
    <row r="17">
      <c r="A17" s="10">
        <v>42095.0</v>
      </c>
      <c r="B17" s="11">
        <v>72400.0</v>
      </c>
      <c r="C17" s="11">
        <v>20.0</v>
      </c>
      <c r="D17" s="6">
        <f t="shared" si="1"/>
        <v>3620</v>
      </c>
      <c r="E17" s="6">
        <f t="shared" si="2"/>
        <v>380</v>
      </c>
    </row>
    <row r="18">
      <c r="A18" s="10">
        <v>42125.0</v>
      </c>
      <c r="B18" s="11">
        <v>80000.0</v>
      </c>
      <c r="C18" s="11">
        <v>20.0</v>
      </c>
      <c r="D18" s="6">
        <f t="shared" si="1"/>
        <v>4000</v>
      </c>
      <c r="E18" s="6">
        <f t="shared" si="2"/>
        <v>410</v>
      </c>
    </row>
    <row r="19">
      <c r="A19" s="10">
        <v>42156.0</v>
      </c>
      <c r="B19" s="11">
        <v>92610.0</v>
      </c>
      <c r="C19" s="11">
        <v>21.0</v>
      </c>
      <c r="D19" s="6">
        <f t="shared" si="1"/>
        <v>4410</v>
      </c>
      <c r="E19" s="6">
        <f t="shared" si="2"/>
        <v>430</v>
      </c>
    </row>
    <row r="20">
      <c r="A20" s="10">
        <v>42186.0</v>
      </c>
      <c r="B20" s="11">
        <v>106480.0</v>
      </c>
      <c r="C20" s="11">
        <v>22.0</v>
      </c>
      <c r="D20" s="6">
        <f t="shared" si="1"/>
        <v>4840</v>
      </c>
      <c r="E20" s="6">
        <f t="shared" si="2"/>
        <v>431</v>
      </c>
    </row>
    <row r="21">
      <c r="A21" s="10">
        <v>42217.0</v>
      </c>
      <c r="B21" s="11">
        <v>110691.0</v>
      </c>
      <c r="C21" s="11">
        <v>21.0</v>
      </c>
      <c r="D21" s="6">
        <f t="shared" si="1"/>
        <v>5271</v>
      </c>
      <c r="E21" s="6">
        <f t="shared" si="2"/>
        <v>462</v>
      </c>
    </row>
    <row r="22">
      <c r="A22" s="10">
        <v>42248.0</v>
      </c>
      <c r="B22" s="11">
        <v>120393.0</v>
      </c>
      <c r="C22" s="11">
        <v>21.0</v>
      </c>
      <c r="D22" s="6">
        <f t="shared" si="1"/>
        <v>5733</v>
      </c>
      <c r="E22" s="6">
        <f t="shared" si="2"/>
        <v>483</v>
      </c>
    </row>
    <row r="23">
      <c r="A23" s="10">
        <v>42278.0</v>
      </c>
      <c r="B23" s="11">
        <v>130536.0</v>
      </c>
      <c r="C23" s="11">
        <v>21.0</v>
      </c>
      <c r="D23" s="6">
        <f t="shared" si="1"/>
        <v>6216</v>
      </c>
      <c r="E23" s="6">
        <f t="shared" si="2"/>
        <v>484</v>
      </c>
    </row>
    <row r="24">
      <c r="A24" s="10">
        <v>42309.0</v>
      </c>
      <c r="B24" s="11">
        <v>134000.0</v>
      </c>
      <c r="C24" s="11">
        <v>20.0</v>
      </c>
      <c r="D24" s="6">
        <f t="shared" si="1"/>
        <v>6700</v>
      </c>
    </row>
    <row r="25">
      <c r="A25" s="10">
        <v>42339.0</v>
      </c>
      <c r="B25" s="11">
        <v>158752.0</v>
      </c>
      <c r="C25" s="11">
        <v>22.0</v>
      </c>
      <c r="D25" s="6">
        <f t="shared" si="1"/>
        <v>7216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10</v>
      </c>
      <c r="B1" s="8" t="s">
        <v>12</v>
      </c>
      <c r="C1" s="9"/>
    </row>
    <row r="2">
      <c r="A2" s="12">
        <v>42005.0</v>
      </c>
      <c r="B2" s="11">
        <v>49.0</v>
      </c>
      <c r="C2" s="11"/>
    </row>
    <row r="3">
      <c r="A3" s="12">
        <v>42006.0</v>
      </c>
      <c r="B3" s="11">
        <v>46.0</v>
      </c>
      <c r="C3" s="11"/>
    </row>
    <row r="4">
      <c r="A4" s="12">
        <v>42007.0</v>
      </c>
      <c r="B4" s="11">
        <v>82.0</v>
      </c>
      <c r="C4" s="11"/>
    </row>
    <row r="5">
      <c r="A5" s="12">
        <v>42008.0</v>
      </c>
      <c r="B5" s="11">
        <v>81.0</v>
      </c>
      <c r="C5" s="11"/>
    </row>
    <row r="6">
      <c r="A6" s="12">
        <v>42009.0</v>
      </c>
      <c r="B6" s="11">
        <v>43.0</v>
      </c>
      <c r="C6" s="11"/>
    </row>
    <row r="7">
      <c r="A7" s="12">
        <v>42010.0</v>
      </c>
      <c r="B7" s="11">
        <v>42.0</v>
      </c>
      <c r="C7" s="11"/>
    </row>
    <row r="8">
      <c r="A8" s="12">
        <v>42011.0</v>
      </c>
      <c r="B8" s="11">
        <v>47.0</v>
      </c>
      <c r="C8" s="11"/>
    </row>
    <row r="9">
      <c r="A9" s="12">
        <v>42012.0</v>
      </c>
      <c r="B9" s="11">
        <v>41.0</v>
      </c>
      <c r="C9" s="11"/>
    </row>
    <row r="10">
      <c r="A10" s="12">
        <v>42013.0</v>
      </c>
      <c r="B10" s="11">
        <v>42.0</v>
      </c>
      <c r="C10" s="11"/>
    </row>
    <row r="11">
      <c r="A11" s="12">
        <v>42014.0</v>
      </c>
      <c r="B11" s="11">
        <v>86.0</v>
      </c>
      <c r="C11" s="11"/>
    </row>
    <row r="12">
      <c r="A12" s="12">
        <v>42015.0</v>
      </c>
      <c r="B12" s="11">
        <v>83.0</v>
      </c>
      <c r="C12" s="11"/>
    </row>
    <row r="13">
      <c r="A13" s="12">
        <v>42016.0</v>
      </c>
      <c r="B13" s="11">
        <v>45.0</v>
      </c>
      <c r="C13" s="11"/>
    </row>
    <row r="14">
      <c r="A14" s="12">
        <v>42017.0</v>
      </c>
      <c r="B14" s="11">
        <v>44.0</v>
      </c>
      <c r="C14" s="11"/>
    </row>
    <row r="15">
      <c r="A15" s="12">
        <v>42018.0</v>
      </c>
      <c r="B15" s="11">
        <v>41.0</v>
      </c>
      <c r="C15" s="11"/>
    </row>
    <row r="16">
      <c r="A16" s="12">
        <v>42019.0</v>
      </c>
      <c r="B16" s="11">
        <v>49.0</v>
      </c>
      <c r="C16" s="11"/>
    </row>
    <row r="17">
      <c r="A17" s="12">
        <v>42020.0</v>
      </c>
      <c r="B17" s="11">
        <v>42.0</v>
      </c>
      <c r="C17" s="11"/>
    </row>
    <row r="18">
      <c r="A18" s="12">
        <v>42021.0</v>
      </c>
      <c r="B18" s="11">
        <v>86.0</v>
      </c>
      <c r="C18" s="11"/>
    </row>
    <row r="19">
      <c r="A19" s="12">
        <v>42022.0</v>
      </c>
      <c r="B19" s="11">
        <v>80.0</v>
      </c>
      <c r="C19" s="11"/>
    </row>
    <row r="20">
      <c r="A20" s="12">
        <v>42023.0</v>
      </c>
      <c r="B20" s="11">
        <v>41.0</v>
      </c>
      <c r="C20" s="11"/>
    </row>
    <row r="21">
      <c r="A21" s="12">
        <v>42024.0</v>
      </c>
      <c r="B21" s="11">
        <v>44.0</v>
      </c>
      <c r="C21" s="11"/>
    </row>
    <row r="22">
      <c r="A22" s="12">
        <v>42025.0</v>
      </c>
      <c r="B22" s="11">
        <v>45.0</v>
      </c>
      <c r="C22" s="11"/>
    </row>
    <row r="23">
      <c r="A23" s="12">
        <v>42026.0</v>
      </c>
      <c r="B23" s="11">
        <v>42.0</v>
      </c>
      <c r="C23" s="11"/>
    </row>
    <row r="24">
      <c r="A24" s="12">
        <v>42027.0</v>
      </c>
      <c r="B24" s="11">
        <v>49.0</v>
      </c>
      <c r="C24" s="11"/>
    </row>
    <row r="25">
      <c r="A25" s="12">
        <v>42028.0</v>
      </c>
      <c r="B25" s="11">
        <v>82.0</v>
      </c>
      <c r="C25" s="11"/>
    </row>
    <row r="26">
      <c r="A26" s="12">
        <v>42029.0</v>
      </c>
      <c r="B26" s="11">
        <v>87.0</v>
      </c>
    </row>
    <row r="27">
      <c r="A27" s="12">
        <v>42030.0</v>
      </c>
      <c r="B27" s="11">
        <v>45.0</v>
      </c>
    </row>
    <row r="28">
      <c r="A28" s="12">
        <v>42031.0</v>
      </c>
      <c r="B28" s="11">
        <v>50.0</v>
      </c>
    </row>
    <row r="29">
      <c r="A29" s="12">
        <v>42032.0</v>
      </c>
      <c r="B29" s="11">
        <v>45.0</v>
      </c>
    </row>
    <row r="30">
      <c r="A30" s="12">
        <v>42033.0</v>
      </c>
      <c r="B30" s="11">
        <v>47.0</v>
      </c>
    </row>
    <row r="31">
      <c r="A31" s="12">
        <v>42034.0</v>
      </c>
      <c r="B31" s="11">
        <v>43.0</v>
      </c>
    </row>
    <row r="32">
      <c r="A32" s="12">
        <v>42035.0</v>
      </c>
      <c r="B32" s="11">
        <v>88.0</v>
      </c>
    </row>
    <row r="33">
      <c r="A33" s="12">
        <v>42036.0</v>
      </c>
      <c r="B33" s="11">
        <v>82.0</v>
      </c>
    </row>
    <row r="34">
      <c r="A34" s="12">
        <v>42037.0</v>
      </c>
      <c r="B34" s="11">
        <v>42.0</v>
      </c>
    </row>
    <row r="35">
      <c r="A35" s="12">
        <v>42038.0</v>
      </c>
      <c r="B35" s="11">
        <v>45.0</v>
      </c>
    </row>
    <row r="36">
      <c r="A36" s="12">
        <v>42039.0</v>
      </c>
      <c r="B36" s="11">
        <v>49.0</v>
      </c>
    </row>
    <row r="37">
      <c r="A37" s="12">
        <v>42040.0</v>
      </c>
      <c r="B37" s="11">
        <v>44.0</v>
      </c>
    </row>
    <row r="38">
      <c r="A38" s="12">
        <v>42041.0</v>
      </c>
      <c r="B38" s="11">
        <v>49.0</v>
      </c>
    </row>
    <row r="39">
      <c r="A39" s="12">
        <v>42042.0</v>
      </c>
      <c r="B39" s="11">
        <v>83.0</v>
      </c>
    </row>
    <row r="40">
      <c r="A40" s="12">
        <v>42043.0</v>
      </c>
      <c r="B40" s="11">
        <v>89.0</v>
      </c>
    </row>
    <row r="41">
      <c r="A41" s="12">
        <v>42044.0</v>
      </c>
      <c r="B41" s="11">
        <v>50.0</v>
      </c>
    </row>
    <row r="42">
      <c r="A42" s="12">
        <v>42045.0</v>
      </c>
      <c r="B42" s="11">
        <v>47.0</v>
      </c>
    </row>
    <row r="43">
      <c r="A43" s="12">
        <v>42046.0</v>
      </c>
      <c r="B43" s="11">
        <v>49.0</v>
      </c>
    </row>
    <row r="44">
      <c r="A44" s="12">
        <v>42047.0</v>
      </c>
      <c r="B44" s="11">
        <v>45.0</v>
      </c>
    </row>
    <row r="45">
      <c r="A45" s="12">
        <v>42048.0</v>
      </c>
      <c r="B45" s="11">
        <v>41.0</v>
      </c>
    </row>
    <row r="46">
      <c r="A46" s="12">
        <v>42049.0</v>
      </c>
      <c r="B46" s="11">
        <v>88.0</v>
      </c>
    </row>
    <row r="47">
      <c r="A47" s="12">
        <v>42050.0</v>
      </c>
      <c r="B47" s="11">
        <v>82.0</v>
      </c>
    </row>
    <row r="48">
      <c r="A48" s="12">
        <v>42051.0</v>
      </c>
      <c r="B48" s="11">
        <v>43.0</v>
      </c>
    </row>
    <row r="49">
      <c r="A49" s="12">
        <v>42052.0</v>
      </c>
      <c r="B49" s="11">
        <v>49.0</v>
      </c>
    </row>
    <row r="50">
      <c r="A50" s="12">
        <v>42053.0</v>
      </c>
      <c r="B50" s="11">
        <v>46.0</v>
      </c>
    </row>
    <row r="51">
      <c r="A51" s="12">
        <v>42054.0</v>
      </c>
      <c r="B51" s="11">
        <v>40.0</v>
      </c>
    </row>
    <row r="52">
      <c r="A52" s="12">
        <v>42055.0</v>
      </c>
      <c r="B52" s="11">
        <v>47.0</v>
      </c>
    </row>
    <row r="53">
      <c r="A53" s="12">
        <v>42056.0</v>
      </c>
      <c r="B53" s="11">
        <v>83.0</v>
      </c>
    </row>
    <row r="54">
      <c r="A54" s="12">
        <v>42057.0</v>
      </c>
      <c r="B54" s="11">
        <v>87.0</v>
      </c>
    </row>
    <row r="55">
      <c r="A55" s="12">
        <v>42058.0</v>
      </c>
      <c r="B55" s="11">
        <v>42.0</v>
      </c>
    </row>
    <row r="56">
      <c r="A56" s="12">
        <v>42059.0</v>
      </c>
      <c r="B56" s="11">
        <v>48.0</v>
      </c>
    </row>
    <row r="57">
      <c r="A57" s="12">
        <v>42060.0</v>
      </c>
      <c r="B57" s="11">
        <v>44.0</v>
      </c>
    </row>
    <row r="58">
      <c r="A58" s="12">
        <v>42061.0</v>
      </c>
      <c r="B58" s="11">
        <v>44.0</v>
      </c>
    </row>
    <row r="59">
      <c r="A59" s="12">
        <v>42062.0</v>
      </c>
      <c r="B59" s="11">
        <v>44.0</v>
      </c>
    </row>
    <row r="60">
      <c r="A60" s="12">
        <v>42063.0</v>
      </c>
      <c r="B60" s="11">
        <v>81.0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6.29"/>
  </cols>
  <sheetData>
    <row r="1">
      <c r="A1" s="7" t="s">
        <v>0</v>
      </c>
      <c r="B1" s="8" t="s">
        <v>12</v>
      </c>
      <c r="C1" s="13" t="s">
        <v>17</v>
      </c>
      <c r="D1" s="9" t="s">
        <v>18</v>
      </c>
    </row>
    <row r="2">
      <c r="A2" s="10">
        <v>41640.0</v>
      </c>
      <c r="B2" s="11">
        <v>880.0</v>
      </c>
      <c r="C2" s="11">
        <v>8.0</v>
      </c>
      <c r="D2" s="6">
        <f t="shared" ref="D2:D25" si="1">B2/C2</f>
        <v>110</v>
      </c>
    </row>
    <row r="3">
      <c r="A3" s="10">
        <v>41671.0</v>
      </c>
      <c r="B3" s="11">
        <v>1600.0</v>
      </c>
      <c r="C3" s="11">
        <v>8.0</v>
      </c>
      <c r="D3" s="6">
        <f t="shared" si="1"/>
        <v>200</v>
      </c>
    </row>
    <row r="4">
      <c r="A4" s="10">
        <v>41699.0</v>
      </c>
      <c r="B4" s="11">
        <v>3240.0</v>
      </c>
      <c r="C4" s="11">
        <v>10.0</v>
      </c>
      <c r="D4" s="6">
        <f t="shared" si="1"/>
        <v>324</v>
      </c>
    </row>
    <row r="5">
      <c r="A5" s="10">
        <v>41730.0</v>
      </c>
      <c r="B5" s="11">
        <v>3840.0</v>
      </c>
      <c r="C5" s="11">
        <v>8.0</v>
      </c>
      <c r="D5" s="6">
        <f t="shared" si="1"/>
        <v>480</v>
      </c>
    </row>
    <row r="6">
      <c r="A6" s="10">
        <v>41760.0</v>
      </c>
      <c r="B6" s="11">
        <v>5670.0</v>
      </c>
      <c r="C6" s="11">
        <v>9.0</v>
      </c>
      <c r="D6" s="6">
        <f t="shared" si="1"/>
        <v>630</v>
      </c>
    </row>
    <row r="7">
      <c r="A7" s="10">
        <v>41791.0</v>
      </c>
      <c r="B7" s="11">
        <v>7380.0</v>
      </c>
      <c r="C7" s="11">
        <v>9.0</v>
      </c>
      <c r="D7" s="6">
        <f t="shared" si="1"/>
        <v>820</v>
      </c>
    </row>
    <row r="8">
      <c r="A8" s="10">
        <v>41821.0</v>
      </c>
      <c r="B8" s="11">
        <v>8096.0</v>
      </c>
      <c r="C8" s="11">
        <v>8.0</v>
      </c>
      <c r="D8" s="6">
        <f t="shared" si="1"/>
        <v>1012</v>
      </c>
    </row>
    <row r="9">
      <c r="A9" s="10">
        <v>41852.0</v>
      </c>
      <c r="B9" s="11">
        <v>12390.0</v>
      </c>
      <c r="C9" s="11">
        <v>10.0</v>
      </c>
      <c r="D9" s="6">
        <f t="shared" si="1"/>
        <v>1239</v>
      </c>
    </row>
    <row r="10">
      <c r="A10" s="10">
        <v>41883.0</v>
      </c>
      <c r="B10" s="11">
        <v>11792.0</v>
      </c>
      <c r="C10" s="11">
        <v>8.0</v>
      </c>
      <c r="D10" s="6">
        <f t="shared" si="1"/>
        <v>1474</v>
      </c>
    </row>
    <row r="11">
      <c r="A11" s="10">
        <v>41913.0</v>
      </c>
      <c r="B11" s="11">
        <v>13984.0</v>
      </c>
      <c r="C11" s="11">
        <v>8.0</v>
      </c>
      <c r="D11" s="6">
        <f t="shared" si="1"/>
        <v>1748</v>
      </c>
    </row>
    <row r="12">
      <c r="A12" s="10">
        <v>41944.0</v>
      </c>
      <c r="B12" s="11">
        <v>20200.0</v>
      </c>
      <c r="C12" s="11">
        <v>10.0</v>
      </c>
      <c r="D12" s="6">
        <f t="shared" si="1"/>
        <v>2020</v>
      </c>
    </row>
    <row r="13">
      <c r="A13" s="10">
        <v>41974.0</v>
      </c>
      <c r="B13" s="11">
        <v>18480.0</v>
      </c>
      <c r="C13" s="11">
        <v>8.0</v>
      </c>
      <c r="D13" s="6">
        <f t="shared" si="1"/>
        <v>2310</v>
      </c>
    </row>
    <row r="14">
      <c r="A14" s="10">
        <v>42005.0</v>
      </c>
      <c r="B14" s="11">
        <v>23436.0</v>
      </c>
      <c r="C14" s="11">
        <v>9.0</v>
      </c>
      <c r="D14" s="6">
        <f t="shared" si="1"/>
        <v>2604</v>
      </c>
    </row>
    <row r="15">
      <c r="A15" s="10">
        <v>42036.0</v>
      </c>
      <c r="B15" s="11">
        <v>23392.0</v>
      </c>
      <c r="C15" s="11">
        <v>8.0</v>
      </c>
      <c r="D15" s="6">
        <f t="shared" si="1"/>
        <v>2924</v>
      </c>
    </row>
    <row r="16">
      <c r="A16" s="10">
        <v>42064.0</v>
      </c>
      <c r="B16" s="11">
        <v>29304.0</v>
      </c>
      <c r="C16" s="11">
        <v>9.0</v>
      </c>
      <c r="D16" s="6">
        <f t="shared" si="1"/>
        <v>3256</v>
      </c>
    </row>
    <row r="17">
      <c r="A17" s="10">
        <v>42095.0</v>
      </c>
      <c r="B17" s="11">
        <v>28960.0</v>
      </c>
      <c r="C17" s="11">
        <v>8.0</v>
      </c>
      <c r="D17" s="6">
        <f t="shared" si="1"/>
        <v>3620</v>
      </c>
    </row>
    <row r="18">
      <c r="A18" s="10">
        <v>42125.0</v>
      </c>
      <c r="B18" s="11">
        <v>40000.0</v>
      </c>
      <c r="C18" s="11">
        <v>10.0</v>
      </c>
      <c r="D18" s="6">
        <f t="shared" si="1"/>
        <v>4000</v>
      </c>
    </row>
    <row r="19">
      <c r="A19" s="10">
        <v>42156.0</v>
      </c>
      <c r="B19" s="11">
        <v>35280.0</v>
      </c>
      <c r="C19" s="11">
        <v>8.0</v>
      </c>
      <c r="D19" s="6">
        <f t="shared" si="1"/>
        <v>4410</v>
      </c>
    </row>
    <row r="20">
      <c r="A20" s="10">
        <v>42186.0</v>
      </c>
      <c r="B20" s="11">
        <v>38720.0</v>
      </c>
      <c r="C20" s="11">
        <v>8.0</v>
      </c>
      <c r="D20" s="6">
        <f t="shared" si="1"/>
        <v>4840</v>
      </c>
    </row>
    <row r="21">
      <c r="A21" s="10">
        <v>42217.0</v>
      </c>
      <c r="B21" s="11">
        <v>52710.0</v>
      </c>
      <c r="C21" s="11">
        <v>10.0</v>
      </c>
      <c r="D21" s="6">
        <f t="shared" si="1"/>
        <v>5271</v>
      </c>
    </row>
    <row r="22">
      <c r="A22" s="10">
        <v>42248.0</v>
      </c>
      <c r="B22" s="11">
        <v>45864.0</v>
      </c>
      <c r="C22" s="11">
        <v>8.0</v>
      </c>
      <c r="D22" s="6">
        <f t="shared" si="1"/>
        <v>5733</v>
      </c>
    </row>
    <row r="23">
      <c r="A23" s="10">
        <v>42278.0</v>
      </c>
      <c r="B23" s="11">
        <v>55944.0</v>
      </c>
      <c r="C23" s="11">
        <v>9.0</v>
      </c>
      <c r="D23" s="6">
        <f t="shared" si="1"/>
        <v>6216</v>
      </c>
    </row>
    <row r="24">
      <c r="A24" s="10">
        <v>42309.0</v>
      </c>
      <c r="B24" s="11">
        <v>60300.0</v>
      </c>
      <c r="C24" s="11">
        <v>9.0</v>
      </c>
      <c r="D24" s="6">
        <f t="shared" si="1"/>
        <v>6700</v>
      </c>
    </row>
    <row r="25">
      <c r="A25" s="10">
        <v>42339.0</v>
      </c>
      <c r="B25" s="11">
        <v>57728.0</v>
      </c>
      <c r="C25" s="11">
        <v>8.0</v>
      </c>
      <c r="D25" s="6">
        <f t="shared" si="1"/>
        <v>7216</v>
      </c>
    </row>
  </sheetData>
  <drawing r:id="rId1"/>
</worksheet>
</file>